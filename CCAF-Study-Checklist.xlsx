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Temp\Russel-QL2\_Dev\Claude-Learning-Exercises\CCAF-StudyGuide\"/>
    </mc:Choice>
  </mc:AlternateContent>
  <xr:revisionPtr revIDLastSave="0" documentId="13_ncr:1_{0DEDC5DE-1A39-4B71-ACD4-6018B70C8340}" xr6:coauthVersionLast="47" xr6:coauthVersionMax="47" xr10:uidLastSave="{00000000-0000-0000-0000-000000000000}"/>
  <bookViews>
    <workbookView xWindow="57480" yWindow="-120" windowWidth="29040" windowHeight="15720" tabRatio="500" activeTab="1" xr2:uid="{00000000-000D-0000-FFFF-FFFF00000000}"/>
  </bookViews>
  <sheets>
    <sheet name="Checklist" sheetId="1" r:id="rId1"/>
    <sheet name="Dashboard" sheetId="2" r:id="rId2"/>
    <sheet name="Objective Map" sheetId="3" r:id="rId3"/>
  </sheets>
  <definedNames>
    <definedName name="_xlnm._FilterDatabase" localSheetId="0" hidden="1">Checklist!$A$1:$K$61</definedName>
    <definedName name="_xlnm._FilterDatabase" localSheetId="2" hidden="1">'Objective Map'!$A$4:$E$41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2" l="1"/>
  <c r="D23" i="2" s="1"/>
  <c r="B23" i="2"/>
  <c r="C22" i="2"/>
  <c r="D22" i="2" s="1"/>
  <c r="B22" i="2"/>
  <c r="C21" i="2"/>
  <c r="D21" i="2" s="1"/>
  <c r="B21" i="2"/>
  <c r="C20" i="2"/>
  <c r="D20" i="2" s="1"/>
  <c r="B20" i="2"/>
  <c r="C19" i="2"/>
  <c r="D19" i="2" s="1"/>
  <c r="B19" i="2"/>
  <c r="C18" i="2"/>
  <c r="D18" i="2" s="1"/>
  <c r="B18" i="2"/>
  <c r="C13" i="2"/>
  <c r="D13" i="2" s="1"/>
  <c r="B13" i="2"/>
  <c r="C12" i="2"/>
  <c r="D12" i="2" s="1"/>
  <c r="B12" i="2"/>
  <c r="C11" i="2"/>
  <c r="D11" i="2" s="1"/>
  <c r="B11" i="2"/>
  <c r="C10" i="2"/>
  <c r="D10" i="2" s="1"/>
  <c r="B10" i="2"/>
  <c r="C9" i="2"/>
  <c r="D9" i="2" s="1"/>
  <c r="B9" i="2"/>
  <c r="C8" i="2"/>
  <c r="D8" i="2" s="1"/>
  <c r="B8" i="2"/>
  <c r="C7" i="2"/>
  <c r="D7" i="2" s="1"/>
  <c r="B7" i="2"/>
  <c r="D3" i="2"/>
  <c r="B3" i="2"/>
</calcChain>
</file>

<file path=xl/sharedStrings.xml><?xml version="1.0" encoding="utf-8"?>
<sst xmlns="http://schemas.openxmlformats.org/spreadsheetml/2006/main" count="639" uniqueCount="275">
  <si>
    <t>Phase</t>
  </si>
  <si>
    <t>#</t>
  </si>
  <si>
    <t>Priority</t>
  </si>
  <si>
    <t>Domain</t>
  </si>
  <si>
    <t>Task</t>
  </si>
  <si>
    <t>Type</t>
  </si>
  <si>
    <t>Resource (click to open)</t>
  </si>
  <si>
    <t>Est (h)</t>
  </si>
  <si>
    <t>Status</t>
  </si>
  <si>
    <t>Date done</t>
  </si>
  <si>
    <t>Notes</t>
  </si>
  <si>
    <t>P0 - Orient</t>
  </si>
  <si>
    <t>HIGH</t>
  </si>
  <si>
    <t>ALL</t>
  </si>
  <si>
    <t>Read the kit README, then skim the official links index so you know where everything lives</t>
  </si>
  <si>
    <t>Setup</t>
  </si>
  <si>
    <t>01 - Official links index</t>
  </si>
  <si>
    <t>Not Started</t>
  </si>
  <si>
    <t>Download the official Exam Guide PDF; do all 12 sample questions reading every wrong-answer rationale</t>
  </si>
  <si>
    <t>Docs</t>
  </si>
  <si>
    <t>Skilljar - CCA-F certification page</t>
  </si>
  <si>
    <t>60 questions / 120 min / passing score 720. Domain weights: D1 27, D3 20, D4 20, D2 18, D5 15 (%)</t>
  </si>
  <si>
    <t>MED</t>
  </si>
  <si>
    <t>Read the exam-day one-pager once now (you will reread it in the final 24h)</t>
  </si>
  <si>
    <t>Strategy</t>
  </si>
  <si>
    <t>05 - Exam-day one-pager</t>
  </si>
  <si>
    <t>The enforcement ladder and wrong-answer tells frame everything that follows</t>
  </si>
  <si>
    <t>P1 - D1 Agentic Architecture</t>
  </si>
  <si>
    <t>D1</t>
  </si>
  <si>
    <t>Baseline drill: D1 filter, 5 questions; note which misses were honeypots</t>
  </si>
  <si>
    <t>Drill</t>
  </si>
  <si>
    <t>02 - Honeypot drill (open in browser)</t>
  </si>
  <si>
    <t>Read: Building effective agents - workflows vs agents; the five workflow patterns incl. orchestrator-workers</t>
  </si>
  <si>
    <t>Article</t>
  </si>
  <si>
    <t>Anthropic engineering post</t>
  </si>
  <si>
    <t>Covers the tested objectives on orchestration pattern selection and when-to-build-an-agent</t>
  </si>
  <si>
    <t>Read: How we built our multi-agent research system</t>
  </si>
  <si>
    <t>Covers subagent prompt completeness, checkpoints / state persistence, resume-on-error, orchestrator-worker in production - all tested objectives</t>
  </si>
  <si>
    <t>Docs: Tool use overview - the agent loop, stop_reason values, parallel tool use</t>
  </si>
  <si>
    <t>Docs - Tool use overview</t>
  </si>
  <si>
    <t>Loop control: stop_reason drives everything; NL-parsing and iteration caps are wrong-answer tells</t>
  </si>
  <si>
    <t>Docs: Subagents in Claude Code - context isolation, tool restrictions, spawning</t>
  </si>
  <si>
    <t>Code docs - Subagents</t>
  </si>
  <si>
    <t>Subagents inherit nothing from the parent; spawn prompts must be complete</t>
  </si>
  <si>
    <t>Lab 10: Orchestrator-worker isolation &amp; provenance</t>
  </si>
  <si>
    <t>Lab</t>
  </si>
  <si>
    <t>03 - Labs index (domain-labs.md)</t>
  </si>
  <si>
    <t>Lab 11: The agent loop done right</t>
  </si>
  <si>
    <t>Lab 12: Agent design judgment - tiering, error contracts, escalation</t>
  </si>
  <si>
    <t>Re-drill D1 the next day; must hold 5/5, else revisit rationales</t>
  </si>
  <si>
    <t>P2 - D2 Tool Design &amp; MCP</t>
  </si>
  <si>
    <t>D2</t>
  </si>
  <si>
    <t>Baseline drill: D2 filter, 5 questions</t>
  </si>
  <si>
    <t>Docs: Tool use overview - descriptions / when-to-call, tool_choice modes, strict</t>
  </si>
  <si>
    <t>Same page as the D1 pass; this pass focuses on tool descriptions, tool_choice and strict</t>
  </si>
  <si>
    <t>Docs: MCP in Claude Code - scopes (local/project/user), env-var expansion, /mcp, auth</t>
  </si>
  <si>
    <t>Code docs - MCP</t>
  </si>
  <si>
    <t>Also know MCP resources vs tools (tested); concepts at modelcontextprotocol.io</t>
  </si>
  <si>
    <t>Courses: Intro to MCP + MCP Advanced Topics</t>
  </si>
  <si>
    <t>Course</t>
  </si>
  <si>
    <t>Academy - Intro to MCP</t>
  </si>
  <si>
    <t>Lab 13: Tool definitions that trigger correctly</t>
  </si>
  <si>
    <t>Lab 14: Scoped tools &amp; parallel execution</t>
  </si>
  <si>
    <t>Lab 15: MCP integration (needs Node / npx)</t>
  </si>
  <si>
    <t>Re-drill D2; must hold 5/5</t>
  </si>
  <si>
    <t>P3 - D3 Claude Code Config</t>
  </si>
  <si>
    <t>D3</t>
  </si>
  <si>
    <t>Baseline drill: D3 filter, 5 questions</t>
  </si>
  <si>
    <t>Docs: Extend Claude Code - when to use CLAUDE.md vs rules vs skills vs subagents vs hooks vs MCP</t>
  </si>
  <si>
    <t>Code docs - Extend Claude Code</t>
  </si>
  <si>
    <t>Directly covers the tested config-mechanism-selection objective</t>
  </si>
  <si>
    <t>Docs: Memory - CLAUDE.md hierarchy (managed/user/project), subdirectory loading, @imports, .claude/rules/ with paths globs</t>
  </si>
  <si>
    <t>Code docs - Memory</t>
  </si>
  <si>
    <t>Tip: set CLAUDE_CODE_NEW_INIT=1 for the interactive multi-phase /init flow</t>
  </si>
  <si>
    <t>Docs: Hooks - events, matchers, exit codes (PreToolUse exit 2 blocks)</t>
  </si>
  <si>
    <t>Code docs - Hooks</t>
  </si>
  <si>
    <t>Docs: Skills - SKILL.md frontmatter, progressive disclosure, triggering</t>
  </si>
  <si>
    <t>Code docs - Skills</t>
  </si>
  <si>
    <t>Tip: study the skill-creator skill as a worked example of good frontmatter</t>
  </si>
  <si>
    <t>Docs: Slash commands vs skills - when you invoke vs when Claude does</t>
  </si>
  <si>
    <t>Code docs - Slash commands</t>
  </si>
  <si>
    <t>Docs: Settings and permissions - allow/deny rules, settings scopes</t>
  </si>
  <si>
    <t>Code docs - Settings</t>
  </si>
  <si>
    <t>Tip: the $schema line in settings.json enables autocomplete + inline validation in editors</t>
  </si>
  <si>
    <t>Docs: Permission modes incl. plan mode - plan vs direct execution vs multi-phase review</t>
  </si>
  <si>
    <t>Code docs - Permission modes</t>
  </si>
  <si>
    <t>Covers the tested review-architecture objective: choose by task scope, risk level, approval requirements</t>
  </si>
  <si>
    <t>Docs: CLI reference + Headless - -p, --output-format json, --resume, --bare, --tools vs --allowedTools</t>
  </si>
  <si>
    <t>Code docs - CLI reference</t>
  </si>
  <si>
    <t>Field-note exam question: slow scripted startup -&gt; --bare + --allowedTools (see exam-strategy one-pager); headless page: code.claude.com/docs/en/headless</t>
  </si>
  <si>
    <t>Docs: Tools reference + Common workflows - Grep vs Glob vs Read vs Bash; incremental codebase exploration</t>
  </si>
  <si>
    <t>Code docs - Tools reference</t>
  </si>
  <si>
    <t>Covers the tested built-in-tool-selection + exploration-strategy objectives; workflows: code.claude.com/docs/en/common-workflows</t>
  </si>
  <si>
    <t>Docs: Sessions (--continue/--resume scope rules) + Code review configuration</t>
  </si>
  <si>
    <t>Code docs - Sessions</t>
  </si>
  <si>
    <t>Review configs (standards, tool restriction, structured output) are a tested objective; see code.claude.com/docs/en/code-review</t>
  </si>
  <si>
    <t>Lab 4: Memory hierarchy walk + skill triggering</t>
  </si>
  <si>
    <t>Lab 5: Enforcement, not exhortation (highest-yield lab in the kit)</t>
  </si>
  <si>
    <t>Lab 6: Headless CI with generator/reviewer isolation</t>
  </si>
  <si>
    <t>Courses: Claude Code in Action; Intro to Agent Skills; Intro to Subagents</t>
  </si>
  <si>
    <t>Academy - course catalog</t>
  </si>
  <si>
    <t>Docs: GitHub Actions integration (CI scenario)</t>
  </si>
  <si>
    <t>Code docs - GitHub Actions</t>
  </si>
  <si>
    <t>Re-drill D3; must hold 5/5</t>
  </si>
  <si>
    <t>P4 - D4 Prompt Eng &amp; Output</t>
  </si>
  <si>
    <t>D4</t>
  </si>
  <si>
    <t>Baseline drill: D4 filter, 5 questions</t>
  </si>
  <si>
    <t>Study Prompting best practices end to end (examples, chaining, agentic prompting)</t>
  </si>
  <si>
    <t>Docs - Prompting best practices</t>
  </si>
  <si>
    <t>Study Structured outputs; memorize: citations+format=400, prefill incompatible, format change kills cache, strict+JSON combinable</t>
  </si>
  <si>
    <t>Docs - Structured outputs</t>
  </si>
  <si>
    <t>Also covers extraction-schema design with optional/nullable fields and enums (tested objective)</t>
  </si>
  <si>
    <t>Lab 1: Break JSON on purpose, then make it unbreakable</t>
  </si>
  <si>
    <t>Lab 2: Strict tool use and schema drift</t>
  </si>
  <si>
    <t>Lab 3: Validation-retry loop and example diversity</t>
  </si>
  <si>
    <t>Hands-on with Console prompting tools: generator, improver, evaluation</t>
  </si>
  <si>
    <t>Docs - Console prompting tools</t>
  </si>
  <si>
    <t>Course: Building with the Claude API (find in Academy catalog)</t>
  </si>
  <si>
    <t>Re-drill D4; must hold 5/5</t>
  </si>
  <si>
    <t>P5 - D5 Context &amp; Reliability</t>
  </si>
  <si>
    <t>D5</t>
  </si>
  <si>
    <t>Baseline drill: D5 filter, 5 questions</t>
  </si>
  <si>
    <t>Docs: Context editing - tool-result clearing, thinking clearing, compaction summary structure</t>
  </si>
  <si>
    <t>Docs - Context editing</t>
  </si>
  <si>
    <t>Extra reading: joeyyu23.github.io/claude-code-handbook (architect / harness engineering)</t>
  </si>
  <si>
    <t>Read: Effective context engineering for AI agents (engineering post)</t>
  </si>
  <si>
    <t>Lab 7: Prompt caching forensics (prefix invalidation signatures)</t>
  </si>
  <si>
    <t>Lab 8: Context editing under tool-call load</t>
  </si>
  <si>
    <t>Lab 9: stop_reason handling + compaction contract</t>
  </si>
  <si>
    <t>Docs: Batch processing - sync vs batch decision, custom_id, 24h window</t>
  </si>
  <si>
    <t>Docs - Batch processing</t>
  </si>
  <si>
    <t>Re-drill D5; must hold 5/5</t>
  </si>
  <si>
    <t>P6 - Final Prep</t>
  </si>
  <si>
    <t>Review 12-week repo: Key Anti-Patterns and Decision Frameworks tables</t>
  </si>
  <si>
    <t>Community</t>
  </si>
  <si>
    <t>GitHub - SGridworks 12-week program</t>
  </si>
  <si>
    <t>Unofficial; when it disagrees with the docs, the docs win</t>
  </si>
  <si>
    <t>Full 25-question honeypot drill, shuffled, cold; target 21+</t>
  </si>
  <si>
    <t>Community mock: 60-question simulator (unofficial; pattern practice only)</t>
  </si>
  <si>
    <t>Practice</t>
  </si>
  <si>
    <t>anthropiccertifications.com</t>
  </si>
  <si>
    <t>12-week repo practice tests (110 questions in practice-tests/)</t>
  </si>
  <si>
    <t>GitHub - repo practice-tests folder</t>
  </si>
  <si>
    <t>Official Skilljar practice exam, final pass; read EVERY rationale incl. correct answers</t>
  </si>
  <si>
    <t>Day before: exam-strategy one-pager + terminology hit list; no new material</t>
  </si>
  <si>
    <t>CCA-F Prep Dashboard</t>
  </si>
  <si>
    <t>Overall progress</t>
  </si>
  <si>
    <t>Hours remaining</t>
  </si>
  <si>
    <t>Progress by phase</t>
  </si>
  <si>
    <t>Done</t>
  </si>
  <si>
    <t>Total</t>
  </si>
  <si>
    <t>Progress</t>
  </si>
  <si>
    <t>Progress by domain</t>
  </si>
  <si>
    <t>Exam weight</t>
  </si>
  <si>
    <t>D1 - Agentic Architecture &amp; Orchestration</t>
  </si>
  <si>
    <t>D2 - Tool Design &amp; MCP Integration</t>
  </si>
  <si>
    <t>D3 - Claude Code Config &amp; Workflows</t>
  </si>
  <si>
    <t>D4 - Prompt Eng &amp; Structured Output</t>
  </si>
  <si>
    <t>D5 - Context Mgmt &amp; Reliability</t>
  </si>
  <si>
    <t>Cross-domain (orient + final prep)</t>
  </si>
  <si>
    <t>How to use</t>
  </si>
  <si>
    <t>1. Work the Checklist tab top to bottom: P0 orientation, then one domain phase at a time (D1 through D5, ordered by domain number), then P6 final prep.</t>
  </si>
  <si>
    <t>2. Edit ONLY the three input columns: Status (dropdown), Date done, and Notes. Every other cell, and this dashboard, is formula-driven.</t>
  </si>
  <si>
    <t>3. Example entry: when you finish a task, set Status = Done and Date done = 2026-07-15 (any date format works); the row tints green and the Dashboard updates.</t>
  </si>
  <si>
    <t>4. Status colors: green = Done, amber = In Progress. Red priority text = HIGH.</t>
  </si>
  <si>
    <t>5. Resource links open docs and courses online; drill, labs, and strategy links open local files in this kit (keep the workbook in the kit's root folder).</t>
  </si>
  <si>
    <t>6. Lab answer keys live in 03-Hands-On-Labs/_AnswerKeys/ - attempt each lab before opening its key.</t>
  </si>
  <si>
    <t>Exam objective coverage map</t>
  </si>
  <si>
    <t>Test objectives from the official exam blueprint (as reported section-wise on score reports). Each objective is mapped to where this kit covers it; doc coverage verified against the linked pages (July 2026).</t>
  </si>
  <si>
    <t>Exam objective</t>
  </si>
  <si>
    <t>Covered in this kit by</t>
  </si>
  <si>
    <t>Primary reference (click to open)</t>
  </si>
  <si>
    <t>Configure agentic loops to emit multiple tool calls within a single response turn, enabling parallel execution of independent subtasks and reducing total round-trip latency.</t>
  </si>
  <si>
    <t>Lab 11 step 4 - Lab 14 step 3 - Drill Q16</t>
  </si>
  <si>
    <t>Tool use overview</t>
  </si>
  <si>
    <t>Apply session resumption techniques - including targeted re-analysis of changed files and context injection - to restore agent state accurately without repeating prior work.</t>
  </si>
  <si>
    <t>Checklist P3 Sessions row - Strategy sheet 'State persistence'</t>
  </si>
  <si>
    <t>Sessions</t>
  </si>
  <si>
    <t>Construct subagent prompts that include all findings, structured data, and source metadata required for task completion without returning to the coordinator for missing context.</t>
  </si>
  <si>
    <t>Lab 10 steps 1-2 - Drill Q17</t>
  </si>
  <si>
    <t>How we built our multi-agent research system</t>
  </si>
  <si>
    <t>Evaluate subagent delegation strategies - goal-oriented versus procedural instructions - and select the approach that enables adaptive behavior while maintaining coordinator visibility and control.</t>
  </si>
  <si>
    <t>Strategy sheet 'Multi-agent' (delegation style)</t>
  </si>
  <si>
    <t>Multi-agent research post ('Teach the orchestrator how to delegate')</t>
  </si>
  <si>
    <t>Configure subagent invocations with appropriate tool restrictions, context scoping, and system prompts that constrain each agent to its designated role.</t>
  </si>
  <si>
    <t>Lab 10 - Lab 14 - Drill Q23</t>
  </si>
  <si>
    <t>Subagents in Claude Code</t>
  </si>
  <si>
    <t>Diagnose misconfigured subagent spawning by identifying missing tool permissions, incorrect AgentDefinition parameters, or absent coordinator-to-subagent wiring.</t>
  </si>
  <si>
    <t>Official links index (D1 section)</t>
  </si>
  <si>
    <t>Subagents in the Agent SDK</t>
  </si>
  <si>
    <t>Decompose complex tasks into dynamically generated subtasks that adapt as new information is discovered, rather than executing a fixed sequence regardless of intermediate findings.</t>
  </si>
  <si>
    <t>Drill Q18 - Lab 10</t>
  </si>
  <si>
    <t>Building effective agents (orchestrator-workers)</t>
  </si>
  <si>
    <t>Select the appropriate agentic review architecture - plan mode, direct execution, or multi-phase workflow - based on task scope, risk level, and human approval requirements.</t>
  </si>
  <si>
    <t>Checklist P3 Permission-modes row - Strategy sheet 'Review architecture'</t>
  </si>
  <si>
    <t>Permission modes (incl. plan mode)</t>
  </si>
  <si>
    <t>Design state persistence strategies for multi-agent pipelines that enable reliable resumption after interruption without repeating completed work or losing prior findings.</t>
  </si>
  <si>
    <t>Drill Q19 - Strategy sheet 'State persistence'</t>
  </si>
  <si>
    <t>Multi-agent research post (checkpoints, resume-on-error)</t>
  </si>
  <si>
    <t>Evaluate multi-agent orchestration patterns - coordinator-worker, parallel execution, and sequential pipelines - to select the structure best satisfying research coverage, latency, and reliability requirements.</t>
  </si>
  <si>
    <t>Building effective agents (the five workflow patterns)</t>
  </si>
  <si>
    <t>Configure Claude Code CLI invocations for automated CI/CD pipelines using non-interactive flags, permission modes, and cost and turn limits that prevent runaway executions.</t>
  </si>
  <si>
    <t>Lab 6 - Drill Q9 - Strategy sheet field note (--bare)</t>
  </si>
  <si>
    <t>CLI reference + Headless</t>
  </si>
  <si>
    <t>Structure iterative refinement workflows by providing concrete input-output examples, targeted feedback on specific failures, and batched issue descriptions for consolidated evaluation.</t>
  </si>
  <si>
    <t>Lab 3 (validation-retry, targeted feedback)</t>
  </si>
  <si>
    <t>Prompting best practices</t>
  </si>
  <si>
    <t>Design Claude Code review configurations that load the correct project standards, restrict unnecessary tool access, and produce structured output suitable for automated downstream processing.</t>
  </si>
  <si>
    <t>Lab 6 (two-stage pipeline) - Checklist P3 Sessions/Code-review row</t>
  </si>
  <si>
    <t>Code review</t>
  </si>
  <si>
    <t>Apply the context: fork frontmatter option to Skill and slash command configurations that should execute in an isolated subagent context, preventing cross-contamination of session state.</t>
  </si>
  <si>
    <t>Strategy sheet 'Slash command vs skill vs subagent' - Checklist P3 Skills row</t>
  </si>
  <si>
    <t>Skills ('Run skills in a subagent')</t>
  </si>
  <si>
    <t>Improve automated test generation quality by providing existing test files as context, defining fixture conventions, and specifying criteria that distinguish meaningful behavioral tests from trivial assertions.</t>
  </si>
  <si>
    <t>Checklist P3 Tools-reference/Common-workflows row</t>
  </si>
  <si>
    <t>Common workflows (testing)</t>
  </si>
  <si>
    <t>Select the correct Claude Code configuration mechanism - CLAUDE.md, .claude/rules/ with glob patterns, Skills, hooks, or settings permissions - based on guidance type and when it should apply.</t>
  </si>
  <si>
    <t>Labs 4-5 - Drill Q6-Q8, Q10 - Strategy sheet 'Config mechanism selection'</t>
  </si>
  <si>
    <t>Extend Claude Code</t>
  </si>
  <si>
    <t>Apply systematic codebase exploration strategies using Grep, Glob, and Read tools that build incremental understanding while managing context window constraints.</t>
  </si>
  <si>
    <t>Strategy sheet 'Built-in tool selection'</t>
  </si>
  <si>
    <t>Common workflows + Tools reference</t>
  </si>
  <si>
    <t>Design subagent output schemas that render structured data, prose summaries, and citation metadata in the format best suited to downstream synthesis and reporting.</t>
  </si>
  <si>
    <t>Lab 10 (Finding schema)</t>
  </si>
  <si>
    <t>Multi-agent research post (appendix: subagent outputs)</t>
  </si>
  <si>
    <t>Design synthesis agent behavior that preserves source-level uncertainty, distinguishing well-established findings from contested claims rather than collapsing conflicting data into single confident statements.</t>
  </si>
  <si>
    <t>Lab 10 step 4 (provenance) - Drill Q14</t>
  </si>
  <si>
    <t>Multi-agent research post</t>
  </si>
  <si>
    <t>Apply context management strategies - subagent isolation, scratchpad files, and targeted file reading - to sustain coherent codebase exploration across sessions exceeding context limits.</t>
  </si>
  <si>
    <t>Lab 8 - Lab 10 (isolation)</t>
  </si>
  <si>
    <t>Effective context engineering for AI agents</t>
  </si>
  <si>
    <t>Apply context window optimization techniques - summarization, sliding windows, structured state objects, and selective retention - to maintain response quality as conversations exceed practical token limits.</t>
  </si>
  <si>
    <t>Labs 8-9 - Drill Q11, Q15</t>
  </si>
  <si>
    <t>Context editing</t>
  </si>
  <si>
    <t>Design human review routing strategies that direct extractions to reviewers based on confidence scores, document characteristics, and field-level ambiguity rather than random sampling.</t>
  </si>
  <si>
    <t>Strategy sheet 'Human review routing' - Lab 12 part 3 (signal quality)</t>
  </si>
  <si>
    <t>Exam-day one-pager</t>
  </si>
  <si>
    <t>Select the appropriate API processing mode - synchronous Messages API or asynchronous Message Batches API - based on latency requirements, workflow blocking behavior, and acceptable processing windows.</t>
  </si>
  <si>
    <t>Checklist P5 Batch row - Strategy sheet 'Headless / CI'</t>
  </si>
  <si>
    <t>Batch processing</t>
  </si>
  <si>
    <t>Design specialized review passes that separate concerns - security, business logic, API design - into focused prompts with dedicated few-shot examples, preventing recall trade-offs from competing concerns in a single prompt.</t>
  </si>
  <si>
    <t>Strategy sheet 'Review architecture' - Drill Q5</t>
  </si>
  <si>
    <t>Select and implement the most reliable structured output method - tool use with JSON schema, prompt-based formatting, or prefilled responses - based on required schema compliance strictness.</t>
  </si>
  <si>
    <t>Lab 1 - Drill Q1</t>
  </si>
  <si>
    <t>Structured outputs</t>
  </si>
  <si>
    <t>Design extraction schemas with optional fields, nullable values, and appropriate enum definitions that allow the model to accurately represent missing or ambiguous information without fabricating values.</t>
  </si>
  <si>
    <t>Lab 2 - Checklist P4 Structured-outputs row</t>
  </si>
  <si>
    <t>Implement tool use with defined JSON schemas to enforce structured output compliance, and configure tool_choice to guarantee tool invocation when conversational responses would cause downstream failures.</t>
  </si>
  <si>
    <t>Lab 13 - Drill Q22</t>
  </si>
  <si>
    <t>Resolve structured output truncation failures by splitting large review tasks into smaller scoped API calls and merging resulting data structures, rather than increasing max_tokens beyond practical limits.</t>
  </si>
  <si>
    <t>Lab 9 - Drill Q13 - Strategy sheet 'stop_reason' (split-and-merge)</t>
  </si>
  <si>
    <t>Apply extraction accuracy patterns - structured schemas with optional fields, format normalization instructions, and few-shot examples - to reduce hallucination and improve consistency across varied document formats.</t>
  </si>
  <si>
    <t>Labs 1-3</t>
  </si>
  <si>
    <t>Structured outputs + Prompting best practices</t>
  </si>
  <si>
    <t>Reduce automated review false positive rates by supplying project-specific conventions, accepted patterns, and exclusion criteria as persistent context applied on every review.</t>
  </si>
  <si>
    <t>Lab 4 (CLAUDE.md) - Checklist P3 Memory row</t>
  </si>
  <si>
    <t>Memory + Code review</t>
  </si>
  <si>
    <t>Design prompt criteria that define explicit inclusion and exclusion boundaries, preventing the model from generating findings or extractions in categories where performance is unreliable.</t>
  </si>
  <si>
    <t>Lab 3</t>
  </si>
  <si>
    <t>Select the appropriate Claude Code built-in tool - Grep, Glob, Read, or Bash - based on the nature of the search or file operation required for a given codebase task.</t>
  </si>
  <si>
    <t>Tools reference</t>
  </si>
  <si>
    <t>Configure tool distribution in multi-agent systems by assigning each subagent only the tools required for its designated role, reducing decision complexity and preventing out-of-role tool invocations.</t>
  </si>
  <si>
    <t>Lab 14 - Drill Q23</t>
  </si>
  <si>
    <t>Subagents + Tool use overview</t>
  </si>
  <si>
    <t>Distinguish between MCP resources and tools, and expose server content as resources to reduce exploratory tool calls and improve agent efficiency in cross-system queries.</t>
  </si>
  <si>
    <t>Drill Q24 - Lab 15</t>
  </si>
  <si>
    <t>Model Context Protocol docs</t>
  </si>
  <si>
    <t>Integrate MCP servers into Claude Code and agent applications by selecting the correct server scope, configuring authentication via environment variable expansion, and verifying tool discovery.</t>
  </si>
  <si>
    <t>Lab 15 - Drill Q25</t>
  </si>
  <si>
    <t>MCP in Claude Code</t>
  </si>
  <si>
    <t>Write MCP tool descriptions that clearly distinguish each tool's purpose, input formats, use-case boundaries, and relationships to semantically similar tools, reducing misrouting and incorrect tool selection.</t>
  </si>
  <si>
    <t>Lab 13 - Drill Q21</t>
  </si>
  <si>
    <t>Tool use overview + MCP docs</t>
  </si>
  <si>
    <t>Configure the tool_choice parameter to guarantee tool invocation when structured output is required, and sequence multi-tool workflows so prerequisite data is obtained before dependent tools are called.</t>
  </si>
  <si>
    <t>Lab 13 step 2 - Drill Q22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</si>
</sst>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b/>
      <sz val="14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C9CFD8"/>
      </left>
      <right style="thin">
        <color rgb="FFC9CFD8"/>
      </right>
      <top style="thin">
        <color rgb="FFC9CFD8"/>
      </top>
      <bottom style="thin">
        <color rgb="FFC9CFD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  <xf numFmtId="9" fontId="0" fillId="0" borderId="0" xfId="0" applyNumberFormat="1"/>
    <xf numFmtId="164" fontId="0" fillId="0" borderId="0" xfId="0" applyNumberFormat="1"/>
    <xf numFmtId="0" fontId="5" fillId="0" borderId="1" xfId="0" applyFont="1" applyBorder="1"/>
    <xf numFmtId="0" fontId="2" fillId="0" borderId="1" xfId="0" applyFont="1" applyBorder="1"/>
    <xf numFmtId="9" fontId="2" fillId="0" borderId="1" xfId="0" applyNumberFormat="1" applyFont="1" applyBorder="1"/>
    <xf numFmtId="0" fontId="0" fillId="0" borderId="1" xfId="0" applyBorder="1"/>
    <xf numFmtId="0" fontId="2" fillId="0" borderId="0" xfId="0" applyFont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b/>
        <sz val="10"/>
        <color rgb="FFA83240"/>
        <name val="Arial"/>
        <charset val="1"/>
      </font>
    </dxf>
    <dxf>
      <fill>
        <patternFill>
          <bgColor rgb="FFFFF3D2"/>
        </patternFill>
      </fill>
    </dxf>
    <dxf>
      <fill>
        <patternFill>
          <bgColor rgb="FFDFF0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83240"/>
      <rgbColor rgb="FFFFF3D2"/>
      <rgbColor rgb="FFDFF0E6"/>
      <rgbColor rgb="FF660066"/>
      <rgbColor rgb="FFFF8080"/>
      <rgbColor rgb="FF0563C1"/>
      <rgbColor rgb="FFC9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02-Interactive-Drills/cca-f-honeypot-drills.html" TargetMode="External"/><Relationship Id="rId18" Type="http://schemas.openxmlformats.org/officeDocument/2006/relationships/hyperlink" Target="03-Hands-On-Labs/domain-labs.md" TargetMode="External"/><Relationship Id="rId26" Type="http://schemas.openxmlformats.org/officeDocument/2006/relationships/hyperlink" Target="https://code.claude.com/docs/en/slash-commands" TargetMode="External"/><Relationship Id="rId39" Type="http://schemas.openxmlformats.org/officeDocument/2006/relationships/hyperlink" Target="https://platform.claude.com/docs/en/build-with-claude/prompt-engineering/claude-prompting-best-practices" TargetMode="External"/><Relationship Id="rId21" Type="http://schemas.openxmlformats.org/officeDocument/2006/relationships/hyperlink" Target="02-Interactive-Drills/cca-f-honeypot-drills.html" TargetMode="External"/><Relationship Id="rId34" Type="http://schemas.openxmlformats.org/officeDocument/2006/relationships/hyperlink" Target="03-Hands-On-Labs/domain-labs.md" TargetMode="External"/><Relationship Id="rId42" Type="http://schemas.openxmlformats.org/officeDocument/2006/relationships/hyperlink" Target="03-Hands-On-Labs/domain-labs.md" TargetMode="External"/><Relationship Id="rId47" Type="http://schemas.openxmlformats.org/officeDocument/2006/relationships/hyperlink" Target="02-Interactive-Drills/cca-f-honeypot-drills.html" TargetMode="External"/><Relationship Id="rId50" Type="http://schemas.openxmlformats.org/officeDocument/2006/relationships/hyperlink" Target="03-Hands-On-Labs/domain-labs.md" TargetMode="External"/><Relationship Id="rId55" Type="http://schemas.openxmlformats.org/officeDocument/2006/relationships/hyperlink" Target="https://github.com/SGridworks/claude-certified-architect-training" TargetMode="External"/><Relationship Id="rId7" Type="http://schemas.openxmlformats.org/officeDocument/2006/relationships/hyperlink" Target="https://docs.claude.com/en/docs/agents-and-tools/tool-use/overview" TargetMode="External"/><Relationship Id="rId2" Type="http://schemas.openxmlformats.org/officeDocument/2006/relationships/hyperlink" Target="https://anthropic.skilljar.com/claude-certified-architect-foundations-certification" TargetMode="External"/><Relationship Id="rId16" Type="http://schemas.openxmlformats.org/officeDocument/2006/relationships/hyperlink" Target="https://anthropic.skilljar.com/introduction-to-model-context-protocol" TargetMode="External"/><Relationship Id="rId29" Type="http://schemas.openxmlformats.org/officeDocument/2006/relationships/hyperlink" Target="https://code.claude.com/docs/en/cli-reference" TargetMode="External"/><Relationship Id="rId11" Type="http://schemas.openxmlformats.org/officeDocument/2006/relationships/hyperlink" Target="03-Hands-On-Labs/domain-labs.md" TargetMode="External"/><Relationship Id="rId24" Type="http://schemas.openxmlformats.org/officeDocument/2006/relationships/hyperlink" Target="https://code.claude.com/docs/en/hooks" TargetMode="External"/><Relationship Id="rId32" Type="http://schemas.openxmlformats.org/officeDocument/2006/relationships/hyperlink" Target="03-Hands-On-Labs/domain-labs.md" TargetMode="External"/><Relationship Id="rId37" Type="http://schemas.openxmlformats.org/officeDocument/2006/relationships/hyperlink" Target="02-Interactive-Drills/cca-f-honeypot-drills.html" TargetMode="External"/><Relationship Id="rId40" Type="http://schemas.openxmlformats.org/officeDocument/2006/relationships/hyperlink" Target="https://platform.claude.com/docs/en/build-with-claude/structured-outputs" TargetMode="External"/><Relationship Id="rId45" Type="http://schemas.openxmlformats.org/officeDocument/2006/relationships/hyperlink" Target="https://anthropic.skilljar.com/" TargetMode="External"/><Relationship Id="rId53" Type="http://schemas.openxmlformats.org/officeDocument/2006/relationships/hyperlink" Target="https://docs.claude.com/en/docs/build-with-claude/batch-processing" TargetMode="External"/><Relationship Id="rId58" Type="http://schemas.openxmlformats.org/officeDocument/2006/relationships/hyperlink" Target="https://github.com/SGridworks/claude-certified-architect-training" TargetMode="External"/><Relationship Id="rId5" Type="http://schemas.openxmlformats.org/officeDocument/2006/relationships/hyperlink" Target="https://www.anthropic.com/engineering/building-effective-agents" TargetMode="External"/><Relationship Id="rId19" Type="http://schemas.openxmlformats.org/officeDocument/2006/relationships/hyperlink" Target="03-Hands-On-Labs/domain-labs.md" TargetMode="External"/><Relationship Id="rId4" Type="http://schemas.openxmlformats.org/officeDocument/2006/relationships/hyperlink" Target="02-Interactive-Drills/cca-f-honeypot-drills.html" TargetMode="External"/><Relationship Id="rId9" Type="http://schemas.openxmlformats.org/officeDocument/2006/relationships/hyperlink" Target="03-Hands-On-Labs/domain-labs.md" TargetMode="External"/><Relationship Id="rId14" Type="http://schemas.openxmlformats.org/officeDocument/2006/relationships/hyperlink" Target="https://docs.claude.com/en/docs/agents-and-tools/tool-use/overview" TargetMode="External"/><Relationship Id="rId22" Type="http://schemas.openxmlformats.org/officeDocument/2006/relationships/hyperlink" Target="https://code.claude.com/docs/en/features-overview" TargetMode="External"/><Relationship Id="rId27" Type="http://schemas.openxmlformats.org/officeDocument/2006/relationships/hyperlink" Target="https://code.claude.com/docs/en/settings" TargetMode="External"/><Relationship Id="rId30" Type="http://schemas.openxmlformats.org/officeDocument/2006/relationships/hyperlink" Target="https://code.claude.com/docs/en/tools-reference" TargetMode="External"/><Relationship Id="rId35" Type="http://schemas.openxmlformats.org/officeDocument/2006/relationships/hyperlink" Target="https://anthropic.skilljar.com/" TargetMode="External"/><Relationship Id="rId43" Type="http://schemas.openxmlformats.org/officeDocument/2006/relationships/hyperlink" Target="03-Hands-On-Labs/domain-labs.md" TargetMode="External"/><Relationship Id="rId48" Type="http://schemas.openxmlformats.org/officeDocument/2006/relationships/hyperlink" Target="https://platform.claude.com/docs/en/build-with-claude/context-editing" TargetMode="External"/><Relationship Id="rId56" Type="http://schemas.openxmlformats.org/officeDocument/2006/relationships/hyperlink" Target="02-Interactive-Drills/cca-f-honeypot-drills.html" TargetMode="External"/><Relationship Id="rId8" Type="http://schemas.openxmlformats.org/officeDocument/2006/relationships/hyperlink" Target="https://code.claude.com/docs/en/sub-agents" TargetMode="External"/><Relationship Id="rId51" Type="http://schemas.openxmlformats.org/officeDocument/2006/relationships/hyperlink" Target="03-Hands-On-Labs/domain-labs.md" TargetMode="External"/><Relationship Id="rId3" Type="http://schemas.openxmlformats.org/officeDocument/2006/relationships/hyperlink" Target="05-Exam-Day/exam-strategy.md" TargetMode="External"/><Relationship Id="rId12" Type="http://schemas.openxmlformats.org/officeDocument/2006/relationships/hyperlink" Target="02-Interactive-Drills/cca-f-honeypot-drills.html" TargetMode="External"/><Relationship Id="rId17" Type="http://schemas.openxmlformats.org/officeDocument/2006/relationships/hyperlink" Target="03-Hands-On-Labs/domain-labs.md" TargetMode="External"/><Relationship Id="rId25" Type="http://schemas.openxmlformats.org/officeDocument/2006/relationships/hyperlink" Target="https://code.claude.com/docs/en/skills" TargetMode="External"/><Relationship Id="rId33" Type="http://schemas.openxmlformats.org/officeDocument/2006/relationships/hyperlink" Target="03-Hands-On-Labs/domain-labs.md" TargetMode="External"/><Relationship Id="rId38" Type="http://schemas.openxmlformats.org/officeDocument/2006/relationships/hyperlink" Target="02-Interactive-Drills/cca-f-honeypot-drills.html" TargetMode="External"/><Relationship Id="rId46" Type="http://schemas.openxmlformats.org/officeDocument/2006/relationships/hyperlink" Target="02-Interactive-Drills/cca-f-honeypot-drills.html" TargetMode="External"/><Relationship Id="rId59" Type="http://schemas.openxmlformats.org/officeDocument/2006/relationships/hyperlink" Target="https://anthropic.skilljar.com/claude-certified-architect-foundations-certification" TargetMode="External"/><Relationship Id="rId20" Type="http://schemas.openxmlformats.org/officeDocument/2006/relationships/hyperlink" Target="02-Interactive-Drills/cca-f-honeypot-drills.html" TargetMode="External"/><Relationship Id="rId41" Type="http://schemas.openxmlformats.org/officeDocument/2006/relationships/hyperlink" Target="03-Hands-On-Labs/domain-labs.md" TargetMode="External"/><Relationship Id="rId54" Type="http://schemas.openxmlformats.org/officeDocument/2006/relationships/hyperlink" Target="02-Interactive-Drills/cca-f-honeypot-drills.html" TargetMode="External"/><Relationship Id="rId1" Type="http://schemas.openxmlformats.org/officeDocument/2006/relationships/hyperlink" Target="01-Official-Resources/official-links.md" TargetMode="External"/><Relationship Id="rId6" Type="http://schemas.openxmlformats.org/officeDocument/2006/relationships/hyperlink" Target="https://www.anthropic.com/engineering/multi-agent-research-system" TargetMode="External"/><Relationship Id="rId15" Type="http://schemas.openxmlformats.org/officeDocument/2006/relationships/hyperlink" Target="https://code.claude.com/docs/en/mcp" TargetMode="External"/><Relationship Id="rId23" Type="http://schemas.openxmlformats.org/officeDocument/2006/relationships/hyperlink" Target="https://code.claude.com/docs/en/memory" TargetMode="External"/><Relationship Id="rId28" Type="http://schemas.openxmlformats.org/officeDocument/2006/relationships/hyperlink" Target="https://code.claude.com/docs/en/permission-modes" TargetMode="External"/><Relationship Id="rId36" Type="http://schemas.openxmlformats.org/officeDocument/2006/relationships/hyperlink" Target="https://code.claude.com/docs/en/github-actions" TargetMode="External"/><Relationship Id="rId49" Type="http://schemas.openxmlformats.org/officeDocument/2006/relationships/hyperlink" Target="https://www.anthropic.com/engineering/effective-context-engineering-for-ai-agents" TargetMode="External"/><Relationship Id="rId57" Type="http://schemas.openxmlformats.org/officeDocument/2006/relationships/hyperlink" Target="https://www.anthropiccertifications.com/" TargetMode="External"/><Relationship Id="rId10" Type="http://schemas.openxmlformats.org/officeDocument/2006/relationships/hyperlink" Target="03-Hands-On-Labs/domain-labs.md" TargetMode="External"/><Relationship Id="rId31" Type="http://schemas.openxmlformats.org/officeDocument/2006/relationships/hyperlink" Target="https://code.claude.com/docs/en/sessions" TargetMode="External"/><Relationship Id="rId44" Type="http://schemas.openxmlformats.org/officeDocument/2006/relationships/hyperlink" Target="https://platform.claude.com/docs/en/build-with-claude/prompt-engineering/prompting-tools" TargetMode="External"/><Relationship Id="rId52" Type="http://schemas.openxmlformats.org/officeDocument/2006/relationships/hyperlink" Target="03-Hands-On-Labs/domain-labs.md" TargetMode="External"/><Relationship Id="rId60" Type="http://schemas.openxmlformats.org/officeDocument/2006/relationships/hyperlink" Target="05-Exam-Day/exam-strategy.md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code.claude.com/docs/en/code-review" TargetMode="External"/><Relationship Id="rId18" Type="http://schemas.openxmlformats.org/officeDocument/2006/relationships/hyperlink" Target="https://www.anthropic.com/engineering/multi-agent-research-system" TargetMode="External"/><Relationship Id="rId26" Type="http://schemas.openxmlformats.org/officeDocument/2006/relationships/hyperlink" Target="https://platform.claude.com/docs/en/build-with-claude/structured-outputs" TargetMode="External"/><Relationship Id="rId21" Type="http://schemas.openxmlformats.org/officeDocument/2006/relationships/hyperlink" Target="https://platform.claude.com/docs/en/build-with-claude/context-editing" TargetMode="External"/><Relationship Id="rId34" Type="http://schemas.openxmlformats.org/officeDocument/2006/relationships/hyperlink" Target="https://modelcontextprotocol.io/" TargetMode="External"/><Relationship Id="rId7" Type="http://schemas.openxmlformats.org/officeDocument/2006/relationships/hyperlink" Target="https://www.anthropic.com/engineering/building-effective-agents" TargetMode="External"/><Relationship Id="rId12" Type="http://schemas.openxmlformats.org/officeDocument/2006/relationships/hyperlink" Target="https://platform.claude.com/docs/en/build-with-claude/prompt-engineering/claude-prompting-best-practices" TargetMode="External"/><Relationship Id="rId17" Type="http://schemas.openxmlformats.org/officeDocument/2006/relationships/hyperlink" Target="https://code.claude.com/docs/en/common-workflows" TargetMode="External"/><Relationship Id="rId25" Type="http://schemas.openxmlformats.org/officeDocument/2006/relationships/hyperlink" Target="https://platform.claude.com/docs/en/build-with-claude/structured-outputs" TargetMode="External"/><Relationship Id="rId33" Type="http://schemas.openxmlformats.org/officeDocument/2006/relationships/hyperlink" Target="https://code.claude.com/docs/en/sub-agents" TargetMode="External"/><Relationship Id="rId2" Type="http://schemas.openxmlformats.org/officeDocument/2006/relationships/hyperlink" Target="https://code.claude.com/docs/en/sessions" TargetMode="External"/><Relationship Id="rId16" Type="http://schemas.openxmlformats.org/officeDocument/2006/relationships/hyperlink" Target="https://code.claude.com/docs/en/features-overview" TargetMode="External"/><Relationship Id="rId20" Type="http://schemas.openxmlformats.org/officeDocument/2006/relationships/hyperlink" Target="https://www.anthropic.com/engineering/effective-context-engineering-for-ai-agents" TargetMode="External"/><Relationship Id="rId29" Type="http://schemas.openxmlformats.org/officeDocument/2006/relationships/hyperlink" Target="https://platform.claude.com/docs/en/build-with-claude/structured-outputs" TargetMode="External"/><Relationship Id="rId1" Type="http://schemas.openxmlformats.org/officeDocument/2006/relationships/hyperlink" Target="https://docs.claude.com/en/docs/agents-and-tools/tool-use/overview" TargetMode="External"/><Relationship Id="rId6" Type="http://schemas.openxmlformats.org/officeDocument/2006/relationships/hyperlink" Target="https://code.claude.com/docs/en/agent-sdk/subagents" TargetMode="External"/><Relationship Id="rId11" Type="http://schemas.openxmlformats.org/officeDocument/2006/relationships/hyperlink" Target="https://code.claude.com/docs/en/cli-reference" TargetMode="External"/><Relationship Id="rId24" Type="http://schemas.openxmlformats.org/officeDocument/2006/relationships/hyperlink" Target="https://platform.claude.com/docs/en/build-with-claude/prompt-engineering/claude-prompting-best-practices" TargetMode="External"/><Relationship Id="rId32" Type="http://schemas.openxmlformats.org/officeDocument/2006/relationships/hyperlink" Target="https://code.claude.com/docs/en/tools-reference" TargetMode="External"/><Relationship Id="rId37" Type="http://schemas.openxmlformats.org/officeDocument/2006/relationships/hyperlink" Target="https://docs.claude.com/en/docs/agents-and-tools/tool-use/overview" TargetMode="External"/><Relationship Id="rId5" Type="http://schemas.openxmlformats.org/officeDocument/2006/relationships/hyperlink" Target="https://code.claude.com/docs/en/sub-agents" TargetMode="External"/><Relationship Id="rId15" Type="http://schemas.openxmlformats.org/officeDocument/2006/relationships/hyperlink" Target="https://code.claude.com/docs/en/common-workflows" TargetMode="External"/><Relationship Id="rId23" Type="http://schemas.openxmlformats.org/officeDocument/2006/relationships/hyperlink" Target="https://docs.claude.com/en/docs/build-with-claude/batch-processing" TargetMode="External"/><Relationship Id="rId28" Type="http://schemas.openxmlformats.org/officeDocument/2006/relationships/hyperlink" Target="https://platform.claude.com/docs/en/build-with-claude/structured-outputs" TargetMode="External"/><Relationship Id="rId36" Type="http://schemas.openxmlformats.org/officeDocument/2006/relationships/hyperlink" Target="https://docs.claude.com/en/docs/agents-and-tools/tool-use/overview" TargetMode="External"/><Relationship Id="rId10" Type="http://schemas.openxmlformats.org/officeDocument/2006/relationships/hyperlink" Target="https://www.anthropic.com/engineering/building-effective-agents" TargetMode="External"/><Relationship Id="rId19" Type="http://schemas.openxmlformats.org/officeDocument/2006/relationships/hyperlink" Target="https://www.anthropic.com/engineering/multi-agent-research-system" TargetMode="External"/><Relationship Id="rId31" Type="http://schemas.openxmlformats.org/officeDocument/2006/relationships/hyperlink" Target="https://platform.claude.com/docs/en/build-with-claude/prompt-engineering/claude-prompting-best-practices" TargetMode="External"/><Relationship Id="rId4" Type="http://schemas.openxmlformats.org/officeDocument/2006/relationships/hyperlink" Target="https://www.anthropic.com/engineering/multi-agent-research-system" TargetMode="External"/><Relationship Id="rId9" Type="http://schemas.openxmlformats.org/officeDocument/2006/relationships/hyperlink" Target="https://www.anthropic.com/engineering/multi-agent-research-system" TargetMode="External"/><Relationship Id="rId14" Type="http://schemas.openxmlformats.org/officeDocument/2006/relationships/hyperlink" Target="https://code.claude.com/docs/en/skills" TargetMode="External"/><Relationship Id="rId22" Type="http://schemas.openxmlformats.org/officeDocument/2006/relationships/hyperlink" Target="05-Exam-Day/exam-strategy.md" TargetMode="External"/><Relationship Id="rId27" Type="http://schemas.openxmlformats.org/officeDocument/2006/relationships/hyperlink" Target="https://docs.claude.com/en/docs/agents-and-tools/tool-use/overview" TargetMode="External"/><Relationship Id="rId30" Type="http://schemas.openxmlformats.org/officeDocument/2006/relationships/hyperlink" Target="https://code.claude.com/docs/en/memory" TargetMode="External"/><Relationship Id="rId35" Type="http://schemas.openxmlformats.org/officeDocument/2006/relationships/hyperlink" Target="https://code.claude.com/docs/en/mcp" TargetMode="External"/><Relationship Id="rId8" Type="http://schemas.openxmlformats.org/officeDocument/2006/relationships/hyperlink" Target="https://code.claude.com/docs/en/permission-modes" TargetMode="External"/><Relationship Id="rId3" Type="http://schemas.openxmlformats.org/officeDocument/2006/relationships/hyperlink" Target="https://www.anthropic.com/engineering/multi-agent-research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26" customWidth="1"/>
    <col min="2" max="2" width="4" customWidth="1"/>
    <col min="3" max="4" width="8" customWidth="1"/>
    <col min="5" max="5" width="74" customWidth="1"/>
    <col min="6" max="6" width="10" customWidth="1"/>
    <col min="7" max="7" width="34" customWidth="1"/>
    <col min="8" max="8" width="7" customWidth="1"/>
    <col min="9" max="10" width="12" customWidth="1"/>
    <col min="11" max="11" width="52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x14ac:dyDescent="0.45">
      <c r="A2" s="2" t="s">
        <v>11</v>
      </c>
      <c r="B2" s="3">
        <v>1</v>
      </c>
      <c r="C2" s="3" t="s">
        <v>12</v>
      </c>
      <c r="D2" s="3" t="s">
        <v>13</v>
      </c>
      <c r="E2" s="2" t="s">
        <v>14</v>
      </c>
      <c r="F2" s="3" t="s">
        <v>15</v>
      </c>
      <c r="G2" s="4" t="s">
        <v>16</v>
      </c>
      <c r="H2" s="3">
        <v>0.3</v>
      </c>
      <c r="I2" s="3" t="s">
        <v>17</v>
      </c>
      <c r="J2" s="3"/>
      <c r="K2" s="2"/>
    </row>
    <row r="3" spans="1:11" ht="25.5" x14ac:dyDescent="0.45">
      <c r="A3" s="2" t="s">
        <v>11</v>
      </c>
      <c r="B3" s="3">
        <v>2</v>
      </c>
      <c r="C3" s="3" t="s">
        <v>12</v>
      </c>
      <c r="D3" s="3" t="s">
        <v>13</v>
      </c>
      <c r="E3" s="2" t="s">
        <v>18</v>
      </c>
      <c r="F3" s="3" t="s">
        <v>19</v>
      </c>
      <c r="G3" s="4" t="s">
        <v>20</v>
      </c>
      <c r="H3" s="3">
        <v>1.5</v>
      </c>
      <c r="I3" s="3" t="s">
        <v>17</v>
      </c>
      <c r="J3" s="3"/>
      <c r="K3" s="2" t="s">
        <v>21</v>
      </c>
    </row>
    <row r="4" spans="1:11" ht="25.5" x14ac:dyDescent="0.45">
      <c r="A4" s="2" t="s">
        <v>11</v>
      </c>
      <c r="B4" s="3">
        <v>3</v>
      </c>
      <c r="C4" s="3" t="s">
        <v>22</v>
      </c>
      <c r="D4" s="3" t="s">
        <v>13</v>
      </c>
      <c r="E4" s="2" t="s">
        <v>23</v>
      </c>
      <c r="F4" s="3" t="s">
        <v>24</v>
      </c>
      <c r="G4" s="4" t="s">
        <v>25</v>
      </c>
      <c r="H4" s="3">
        <v>0.3</v>
      </c>
      <c r="I4" s="3" t="s">
        <v>17</v>
      </c>
      <c r="J4" s="3"/>
      <c r="K4" s="2" t="s">
        <v>26</v>
      </c>
    </row>
    <row r="5" spans="1:11" x14ac:dyDescent="0.45">
      <c r="A5" s="2" t="s">
        <v>27</v>
      </c>
      <c r="B5" s="3">
        <v>4</v>
      </c>
      <c r="C5" s="3" t="s">
        <v>12</v>
      </c>
      <c r="D5" s="3" t="s">
        <v>28</v>
      </c>
      <c r="E5" s="2" t="s">
        <v>29</v>
      </c>
      <c r="F5" s="3" t="s">
        <v>30</v>
      </c>
      <c r="G5" s="4" t="s">
        <v>31</v>
      </c>
      <c r="H5" s="3">
        <v>0.4</v>
      </c>
      <c r="I5" s="3" t="s">
        <v>17</v>
      </c>
      <c r="J5" s="3"/>
      <c r="K5" s="2"/>
    </row>
    <row r="6" spans="1:11" ht="25.5" x14ac:dyDescent="0.45">
      <c r="A6" s="2" t="s">
        <v>27</v>
      </c>
      <c r="B6" s="3">
        <v>5</v>
      </c>
      <c r="C6" s="3" t="s">
        <v>12</v>
      </c>
      <c r="D6" s="3" t="s">
        <v>28</v>
      </c>
      <c r="E6" s="2" t="s">
        <v>32</v>
      </c>
      <c r="F6" s="3" t="s">
        <v>33</v>
      </c>
      <c r="G6" s="4" t="s">
        <v>34</v>
      </c>
      <c r="H6" s="3">
        <v>0.8</v>
      </c>
      <c r="I6" s="3" t="s">
        <v>17</v>
      </c>
      <c r="J6" s="3"/>
      <c r="K6" s="2" t="s">
        <v>35</v>
      </c>
    </row>
    <row r="7" spans="1:11" ht="38.25" x14ac:dyDescent="0.45">
      <c r="A7" s="2" t="s">
        <v>27</v>
      </c>
      <c r="B7" s="3">
        <v>6</v>
      </c>
      <c r="C7" s="3" t="s">
        <v>12</v>
      </c>
      <c r="D7" s="3" t="s">
        <v>28</v>
      </c>
      <c r="E7" s="2" t="s">
        <v>36</v>
      </c>
      <c r="F7" s="3" t="s">
        <v>33</v>
      </c>
      <c r="G7" s="4" t="s">
        <v>34</v>
      </c>
      <c r="H7" s="3">
        <v>0.8</v>
      </c>
      <c r="I7" s="3" t="s">
        <v>17</v>
      </c>
      <c r="J7" s="3"/>
      <c r="K7" s="2" t="s">
        <v>37</v>
      </c>
    </row>
    <row r="8" spans="1:11" ht="25.5" x14ac:dyDescent="0.45">
      <c r="A8" s="2" t="s">
        <v>27</v>
      </c>
      <c r="B8" s="3">
        <v>7</v>
      </c>
      <c r="C8" s="3" t="s">
        <v>12</v>
      </c>
      <c r="D8" s="3" t="s">
        <v>28</v>
      </c>
      <c r="E8" s="2" t="s">
        <v>38</v>
      </c>
      <c r="F8" s="3" t="s">
        <v>19</v>
      </c>
      <c r="G8" s="4" t="s">
        <v>39</v>
      </c>
      <c r="H8" s="3">
        <v>0.8</v>
      </c>
      <c r="I8" s="3" t="s">
        <v>17</v>
      </c>
      <c r="J8" s="3"/>
      <c r="K8" s="2" t="s">
        <v>40</v>
      </c>
    </row>
    <row r="9" spans="1:11" ht="25.5" x14ac:dyDescent="0.45">
      <c r="A9" s="2" t="s">
        <v>27</v>
      </c>
      <c r="B9" s="3">
        <v>8</v>
      </c>
      <c r="C9" s="3" t="s">
        <v>22</v>
      </c>
      <c r="D9" s="3" t="s">
        <v>28</v>
      </c>
      <c r="E9" s="2" t="s">
        <v>41</v>
      </c>
      <c r="F9" s="3" t="s">
        <v>19</v>
      </c>
      <c r="G9" s="4" t="s">
        <v>42</v>
      </c>
      <c r="H9" s="3">
        <v>0.5</v>
      </c>
      <c r="I9" s="3" t="s">
        <v>17</v>
      </c>
      <c r="J9" s="3"/>
      <c r="K9" s="2" t="s">
        <v>43</v>
      </c>
    </row>
    <row r="10" spans="1:11" x14ac:dyDescent="0.45">
      <c r="A10" s="2" t="s">
        <v>27</v>
      </c>
      <c r="B10" s="3">
        <v>9</v>
      </c>
      <c r="C10" s="3" t="s">
        <v>12</v>
      </c>
      <c r="D10" s="3" t="s">
        <v>28</v>
      </c>
      <c r="E10" s="2" t="s">
        <v>44</v>
      </c>
      <c r="F10" s="3" t="s">
        <v>45</v>
      </c>
      <c r="G10" s="4" t="s">
        <v>46</v>
      </c>
      <c r="H10" s="3">
        <v>0.8</v>
      </c>
      <c r="I10" s="3" t="s">
        <v>17</v>
      </c>
      <c r="J10" s="3"/>
      <c r="K10" s="2"/>
    </row>
    <row r="11" spans="1:11" x14ac:dyDescent="0.45">
      <c r="A11" s="2" t="s">
        <v>27</v>
      </c>
      <c r="B11" s="3">
        <v>10</v>
      </c>
      <c r="C11" s="3" t="s">
        <v>12</v>
      </c>
      <c r="D11" s="3" t="s">
        <v>28</v>
      </c>
      <c r="E11" s="2" t="s">
        <v>47</v>
      </c>
      <c r="F11" s="3" t="s">
        <v>45</v>
      </c>
      <c r="G11" s="4" t="s">
        <v>46</v>
      </c>
      <c r="H11" s="3">
        <v>0.7</v>
      </c>
      <c r="I11" s="3" t="s">
        <v>17</v>
      </c>
      <c r="J11" s="3"/>
      <c r="K11" s="2"/>
    </row>
    <row r="12" spans="1:11" x14ac:dyDescent="0.45">
      <c r="A12" s="2" t="s">
        <v>27</v>
      </c>
      <c r="B12" s="3">
        <v>11</v>
      </c>
      <c r="C12" s="3" t="s">
        <v>12</v>
      </c>
      <c r="D12" s="3" t="s">
        <v>28</v>
      </c>
      <c r="E12" s="2" t="s">
        <v>48</v>
      </c>
      <c r="F12" s="3" t="s">
        <v>45</v>
      </c>
      <c r="G12" s="4" t="s">
        <v>46</v>
      </c>
      <c r="H12" s="3">
        <v>0.7</v>
      </c>
      <c r="I12" s="3" t="s">
        <v>17</v>
      </c>
      <c r="J12" s="3"/>
      <c r="K12" s="2"/>
    </row>
    <row r="13" spans="1:11" x14ac:dyDescent="0.45">
      <c r="A13" s="2" t="s">
        <v>27</v>
      </c>
      <c r="B13" s="3">
        <v>12</v>
      </c>
      <c r="C13" s="3" t="s">
        <v>12</v>
      </c>
      <c r="D13" s="3" t="s">
        <v>28</v>
      </c>
      <c r="E13" s="2" t="s">
        <v>49</v>
      </c>
      <c r="F13" s="3" t="s">
        <v>30</v>
      </c>
      <c r="G13" s="4" t="s">
        <v>31</v>
      </c>
      <c r="H13" s="3">
        <v>0.3</v>
      </c>
      <c r="I13" s="3" t="s">
        <v>17</v>
      </c>
      <c r="J13" s="3"/>
      <c r="K13" s="2"/>
    </row>
    <row r="14" spans="1:11" x14ac:dyDescent="0.45">
      <c r="A14" s="2" t="s">
        <v>50</v>
      </c>
      <c r="B14" s="3">
        <v>13</v>
      </c>
      <c r="C14" s="3" t="s">
        <v>12</v>
      </c>
      <c r="D14" s="3" t="s">
        <v>51</v>
      </c>
      <c r="E14" s="2" t="s">
        <v>52</v>
      </c>
      <c r="F14" s="3" t="s">
        <v>30</v>
      </c>
      <c r="G14" s="4" t="s">
        <v>31</v>
      </c>
      <c r="H14" s="3">
        <v>0.4</v>
      </c>
      <c r="I14" s="3" t="s">
        <v>17</v>
      </c>
      <c r="J14" s="3"/>
      <c r="K14" s="2"/>
    </row>
    <row r="15" spans="1:11" ht="25.5" x14ac:dyDescent="0.45">
      <c r="A15" s="2" t="s">
        <v>50</v>
      </c>
      <c r="B15" s="3">
        <v>14</v>
      </c>
      <c r="C15" s="3" t="s">
        <v>12</v>
      </c>
      <c r="D15" s="3" t="s">
        <v>51</v>
      </c>
      <c r="E15" s="2" t="s">
        <v>53</v>
      </c>
      <c r="F15" s="3" t="s">
        <v>19</v>
      </c>
      <c r="G15" s="4" t="s">
        <v>39</v>
      </c>
      <c r="H15" s="3">
        <v>0.8</v>
      </c>
      <c r="I15" s="3" t="s">
        <v>17</v>
      </c>
      <c r="J15" s="3"/>
      <c r="K15" s="2" t="s">
        <v>54</v>
      </c>
    </row>
    <row r="16" spans="1:11" ht="25.5" x14ac:dyDescent="0.45">
      <c r="A16" s="2" t="s">
        <v>50</v>
      </c>
      <c r="B16" s="3">
        <v>15</v>
      </c>
      <c r="C16" s="3" t="s">
        <v>12</v>
      </c>
      <c r="D16" s="3" t="s">
        <v>51</v>
      </c>
      <c r="E16" s="2" t="s">
        <v>55</v>
      </c>
      <c r="F16" s="3" t="s">
        <v>19</v>
      </c>
      <c r="G16" s="4" t="s">
        <v>56</v>
      </c>
      <c r="H16" s="3">
        <v>0.7</v>
      </c>
      <c r="I16" s="3" t="s">
        <v>17</v>
      </c>
      <c r="J16" s="3"/>
      <c r="K16" s="2" t="s">
        <v>57</v>
      </c>
    </row>
    <row r="17" spans="1:11" x14ac:dyDescent="0.45">
      <c r="A17" s="2" t="s">
        <v>50</v>
      </c>
      <c r="B17" s="3">
        <v>16</v>
      </c>
      <c r="C17" s="3" t="s">
        <v>22</v>
      </c>
      <c r="D17" s="3" t="s">
        <v>51</v>
      </c>
      <c r="E17" s="2" t="s">
        <v>58</v>
      </c>
      <c r="F17" s="3" t="s">
        <v>59</v>
      </c>
      <c r="G17" s="4" t="s">
        <v>60</v>
      </c>
      <c r="H17" s="3">
        <v>1.5</v>
      </c>
      <c r="I17" s="3" t="s">
        <v>17</v>
      </c>
      <c r="J17" s="3"/>
      <c r="K17" s="2"/>
    </row>
    <row r="18" spans="1:11" x14ac:dyDescent="0.45">
      <c r="A18" s="2" t="s">
        <v>50</v>
      </c>
      <c r="B18" s="3">
        <v>17</v>
      </c>
      <c r="C18" s="3" t="s">
        <v>12</v>
      </c>
      <c r="D18" s="3" t="s">
        <v>51</v>
      </c>
      <c r="E18" s="2" t="s">
        <v>61</v>
      </c>
      <c r="F18" s="3" t="s">
        <v>45</v>
      </c>
      <c r="G18" s="4" t="s">
        <v>46</v>
      </c>
      <c r="H18" s="3">
        <v>0.6</v>
      </c>
      <c r="I18" s="3" t="s">
        <v>17</v>
      </c>
      <c r="J18" s="3"/>
      <c r="K18" s="2"/>
    </row>
    <row r="19" spans="1:11" x14ac:dyDescent="0.45">
      <c r="A19" s="2" t="s">
        <v>50</v>
      </c>
      <c r="B19" s="3">
        <v>18</v>
      </c>
      <c r="C19" s="3" t="s">
        <v>12</v>
      </c>
      <c r="D19" s="3" t="s">
        <v>51</v>
      </c>
      <c r="E19" s="2" t="s">
        <v>62</v>
      </c>
      <c r="F19" s="3" t="s">
        <v>45</v>
      </c>
      <c r="G19" s="4" t="s">
        <v>46</v>
      </c>
      <c r="H19" s="3">
        <v>0.6</v>
      </c>
      <c r="I19" s="3" t="s">
        <v>17</v>
      </c>
      <c r="J19" s="3"/>
      <c r="K19" s="2"/>
    </row>
    <row r="20" spans="1:11" x14ac:dyDescent="0.45">
      <c r="A20" s="2" t="s">
        <v>50</v>
      </c>
      <c r="B20" s="3">
        <v>19</v>
      </c>
      <c r="C20" s="3" t="s">
        <v>22</v>
      </c>
      <c r="D20" s="3" t="s">
        <v>51</v>
      </c>
      <c r="E20" s="2" t="s">
        <v>63</v>
      </c>
      <c r="F20" s="3" t="s">
        <v>45</v>
      </c>
      <c r="G20" s="4" t="s">
        <v>46</v>
      </c>
      <c r="H20" s="3">
        <v>0.7</v>
      </c>
      <c r="I20" s="3" t="s">
        <v>17</v>
      </c>
      <c r="J20" s="3"/>
      <c r="K20" s="2"/>
    </row>
    <row r="21" spans="1:11" x14ac:dyDescent="0.45">
      <c r="A21" s="2" t="s">
        <v>50</v>
      </c>
      <c r="B21" s="3">
        <v>20</v>
      </c>
      <c r="C21" s="3" t="s">
        <v>12</v>
      </c>
      <c r="D21" s="3" t="s">
        <v>51</v>
      </c>
      <c r="E21" s="2" t="s">
        <v>64</v>
      </c>
      <c r="F21" s="3" t="s">
        <v>30</v>
      </c>
      <c r="G21" s="4" t="s">
        <v>31</v>
      </c>
      <c r="H21" s="3">
        <v>0.3</v>
      </c>
      <c r="I21" s="3" t="s">
        <v>17</v>
      </c>
      <c r="J21" s="3"/>
      <c r="K21" s="2"/>
    </row>
    <row r="22" spans="1:11" x14ac:dyDescent="0.45">
      <c r="A22" s="2" t="s">
        <v>65</v>
      </c>
      <c r="B22" s="3">
        <v>21</v>
      </c>
      <c r="C22" s="3" t="s">
        <v>12</v>
      </c>
      <c r="D22" s="3" t="s">
        <v>66</v>
      </c>
      <c r="E22" s="2" t="s">
        <v>67</v>
      </c>
      <c r="F22" s="3" t="s">
        <v>30</v>
      </c>
      <c r="G22" s="4" t="s">
        <v>31</v>
      </c>
      <c r="H22" s="3">
        <v>0.4</v>
      </c>
      <c r="I22" s="3" t="s">
        <v>17</v>
      </c>
      <c r="J22" s="3"/>
      <c r="K22" s="2"/>
    </row>
    <row r="23" spans="1:11" ht="25.5" x14ac:dyDescent="0.45">
      <c r="A23" s="2" t="s">
        <v>65</v>
      </c>
      <c r="B23" s="3">
        <v>22</v>
      </c>
      <c r="C23" s="3" t="s">
        <v>12</v>
      </c>
      <c r="D23" s="3" t="s">
        <v>66</v>
      </c>
      <c r="E23" s="2" t="s">
        <v>68</v>
      </c>
      <c r="F23" s="3" t="s">
        <v>19</v>
      </c>
      <c r="G23" s="4" t="s">
        <v>69</v>
      </c>
      <c r="H23" s="3">
        <v>0.5</v>
      </c>
      <c r="I23" s="3" t="s">
        <v>17</v>
      </c>
      <c r="J23" s="3"/>
      <c r="K23" s="2" t="s">
        <v>70</v>
      </c>
    </row>
    <row r="24" spans="1:11" ht="25.5" x14ac:dyDescent="0.45">
      <c r="A24" s="2" t="s">
        <v>65</v>
      </c>
      <c r="B24" s="3">
        <v>23</v>
      </c>
      <c r="C24" s="3" t="s">
        <v>12</v>
      </c>
      <c r="D24" s="3" t="s">
        <v>66</v>
      </c>
      <c r="E24" s="2" t="s">
        <v>71</v>
      </c>
      <c r="F24" s="3" t="s">
        <v>19</v>
      </c>
      <c r="G24" s="4" t="s">
        <v>72</v>
      </c>
      <c r="H24" s="3">
        <v>0.8</v>
      </c>
      <c r="I24" s="3" t="s">
        <v>17</v>
      </c>
      <c r="J24" s="3"/>
      <c r="K24" s="2" t="s">
        <v>73</v>
      </c>
    </row>
    <row r="25" spans="1:11" x14ac:dyDescent="0.45">
      <c r="A25" s="2" t="s">
        <v>65</v>
      </c>
      <c r="B25" s="3">
        <v>24</v>
      </c>
      <c r="C25" s="3" t="s">
        <v>12</v>
      </c>
      <c r="D25" s="3" t="s">
        <v>66</v>
      </c>
      <c r="E25" s="2" t="s">
        <v>74</v>
      </c>
      <c r="F25" s="3" t="s">
        <v>19</v>
      </c>
      <c r="G25" s="4" t="s">
        <v>75</v>
      </c>
      <c r="H25" s="3">
        <v>0.8</v>
      </c>
      <c r="I25" s="3" t="s">
        <v>17</v>
      </c>
      <c r="J25" s="3"/>
      <c r="K25" s="2"/>
    </row>
    <row r="26" spans="1:11" ht="25.5" x14ac:dyDescent="0.45">
      <c r="A26" s="2" t="s">
        <v>65</v>
      </c>
      <c r="B26" s="3">
        <v>25</v>
      </c>
      <c r="C26" s="3" t="s">
        <v>12</v>
      </c>
      <c r="D26" s="3" t="s">
        <v>66</v>
      </c>
      <c r="E26" s="2" t="s">
        <v>76</v>
      </c>
      <c r="F26" s="3" t="s">
        <v>19</v>
      </c>
      <c r="G26" s="4" t="s">
        <v>77</v>
      </c>
      <c r="H26" s="3">
        <v>0.7</v>
      </c>
      <c r="I26" s="3" t="s">
        <v>17</v>
      </c>
      <c r="J26" s="3"/>
      <c r="K26" s="2" t="s">
        <v>78</v>
      </c>
    </row>
    <row r="27" spans="1:11" x14ac:dyDescent="0.45">
      <c r="A27" s="2" t="s">
        <v>65</v>
      </c>
      <c r="B27" s="3">
        <v>26</v>
      </c>
      <c r="C27" s="3" t="s">
        <v>22</v>
      </c>
      <c r="D27" s="3" t="s">
        <v>66</v>
      </c>
      <c r="E27" s="2" t="s">
        <v>79</v>
      </c>
      <c r="F27" s="3" t="s">
        <v>19</v>
      </c>
      <c r="G27" s="4" t="s">
        <v>80</v>
      </c>
      <c r="H27" s="3">
        <v>0.4</v>
      </c>
      <c r="I27" s="3" t="s">
        <v>17</v>
      </c>
      <c r="J27" s="3"/>
      <c r="K27" s="2"/>
    </row>
    <row r="28" spans="1:11" ht="25.5" x14ac:dyDescent="0.45">
      <c r="A28" s="2" t="s">
        <v>65</v>
      </c>
      <c r="B28" s="3">
        <v>27</v>
      </c>
      <c r="C28" s="3" t="s">
        <v>12</v>
      </c>
      <c r="D28" s="3" t="s">
        <v>66</v>
      </c>
      <c r="E28" s="2" t="s">
        <v>81</v>
      </c>
      <c r="F28" s="3" t="s">
        <v>19</v>
      </c>
      <c r="G28" s="4" t="s">
        <v>82</v>
      </c>
      <c r="H28" s="3">
        <v>0.6</v>
      </c>
      <c r="I28" s="3" t="s">
        <v>17</v>
      </c>
      <c r="J28" s="3"/>
      <c r="K28" s="2" t="s">
        <v>83</v>
      </c>
    </row>
    <row r="29" spans="1:11" ht="25.5" x14ac:dyDescent="0.45">
      <c r="A29" s="2" t="s">
        <v>65</v>
      </c>
      <c r="B29" s="3">
        <v>28</v>
      </c>
      <c r="C29" s="3" t="s">
        <v>12</v>
      </c>
      <c r="D29" s="3" t="s">
        <v>66</v>
      </c>
      <c r="E29" s="2" t="s">
        <v>84</v>
      </c>
      <c r="F29" s="3" t="s">
        <v>19</v>
      </c>
      <c r="G29" s="4" t="s">
        <v>85</v>
      </c>
      <c r="H29" s="3">
        <v>0.5</v>
      </c>
      <c r="I29" s="3" t="s">
        <v>17</v>
      </c>
      <c r="J29" s="3"/>
      <c r="K29" s="2" t="s">
        <v>86</v>
      </c>
    </row>
    <row r="30" spans="1:11" ht="38.25" x14ac:dyDescent="0.45">
      <c r="A30" s="2" t="s">
        <v>65</v>
      </c>
      <c r="B30" s="3">
        <v>29</v>
      </c>
      <c r="C30" s="3" t="s">
        <v>12</v>
      </c>
      <c r="D30" s="3" t="s">
        <v>66</v>
      </c>
      <c r="E30" s="2" t="s">
        <v>87</v>
      </c>
      <c r="F30" s="3" t="s">
        <v>19</v>
      </c>
      <c r="G30" s="4" t="s">
        <v>88</v>
      </c>
      <c r="H30" s="3">
        <v>0.6</v>
      </c>
      <c r="I30" s="3" t="s">
        <v>17</v>
      </c>
      <c r="J30" s="3"/>
      <c r="K30" s="2" t="s">
        <v>89</v>
      </c>
    </row>
    <row r="31" spans="1:11" ht="38.25" x14ac:dyDescent="0.45">
      <c r="A31" s="2" t="s">
        <v>65</v>
      </c>
      <c r="B31" s="3">
        <v>30</v>
      </c>
      <c r="C31" s="3" t="s">
        <v>12</v>
      </c>
      <c r="D31" s="3" t="s">
        <v>66</v>
      </c>
      <c r="E31" s="2" t="s">
        <v>90</v>
      </c>
      <c r="F31" s="3" t="s">
        <v>19</v>
      </c>
      <c r="G31" s="4" t="s">
        <v>91</v>
      </c>
      <c r="H31" s="3">
        <v>0.7</v>
      </c>
      <c r="I31" s="3" t="s">
        <v>17</v>
      </c>
      <c r="J31" s="3"/>
      <c r="K31" s="2" t="s">
        <v>92</v>
      </c>
    </row>
    <row r="32" spans="1:11" ht="38.25" x14ac:dyDescent="0.45">
      <c r="A32" s="2" t="s">
        <v>65</v>
      </c>
      <c r="B32" s="3">
        <v>31</v>
      </c>
      <c r="C32" s="3" t="s">
        <v>22</v>
      </c>
      <c r="D32" s="3" t="s">
        <v>66</v>
      </c>
      <c r="E32" s="2" t="s">
        <v>93</v>
      </c>
      <c r="F32" s="3" t="s">
        <v>19</v>
      </c>
      <c r="G32" s="4" t="s">
        <v>94</v>
      </c>
      <c r="H32" s="3">
        <v>0.5</v>
      </c>
      <c r="I32" s="3" t="s">
        <v>17</v>
      </c>
      <c r="J32" s="3"/>
      <c r="K32" s="2" t="s">
        <v>95</v>
      </c>
    </row>
    <row r="33" spans="1:11" x14ac:dyDescent="0.45">
      <c r="A33" s="2" t="s">
        <v>65</v>
      </c>
      <c r="B33" s="3">
        <v>32</v>
      </c>
      <c r="C33" s="3" t="s">
        <v>12</v>
      </c>
      <c r="D33" s="3" t="s">
        <v>66</v>
      </c>
      <c r="E33" s="2" t="s">
        <v>96</v>
      </c>
      <c r="F33" s="3" t="s">
        <v>45</v>
      </c>
      <c r="G33" s="4" t="s">
        <v>46</v>
      </c>
      <c r="H33" s="3">
        <v>0.7</v>
      </c>
      <c r="I33" s="3" t="s">
        <v>17</v>
      </c>
      <c r="J33" s="3"/>
      <c r="K33" s="2"/>
    </row>
    <row r="34" spans="1:11" x14ac:dyDescent="0.45">
      <c r="A34" s="2" t="s">
        <v>65</v>
      </c>
      <c r="B34" s="3">
        <v>33</v>
      </c>
      <c r="C34" s="3" t="s">
        <v>12</v>
      </c>
      <c r="D34" s="3" t="s">
        <v>66</v>
      </c>
      <c r="E34" s="2" t="s">
        <v>97</v>
      </c>
      <c r="F34" s="3" t="s">
        <v>45</v>
      </c>
      <c r="G34" s="4" t="s">
        <v>46</v>
      </c>
      <c r="H34" s="3">
        <v>0.7</v>
      </c>
      <c r="I34" s="3" t="s">
        <v>17</v>
      </c>
      <c r="J34" s="3"/>
      <c r="K34" s="2"/>
    </row>
    <row r="35" spans="1:11" x14ac:dyDescent="0.45">
      <c r="A35" s="2" t="s">
        <v>65</v>
      </c>
      <c r="B35" s="3">
        <v>34</v>
      </c>
      <c r="C35" s="3" t="s">
        <v>12</v>
      </c>
      <c r="D35" s="3" t="s">
        <v>66</v>
      </c>
      <c r="E35" s="2" t="s">
        <v>98</v>
      </c>
      <c r="F35" s="3" t="s">
        <v>45</v>
      </c>
      <c r="G35" s="4" t="s">
        <v>46</v>
      </c>
      <c r="H35" s="3">
        <v>0.8</v>
      </c>
      <c r="I35" s="3" t="s">
        <v>17</v>
      </c>
      <c r="J35" s="3"/>
      <c r="K35" s="2"/>
    </row>
    <row r="36" spans="1:11" x14ac:dyDescent="0.45">
      <c r="A36" s="2" t="s">
        <v>65</v>
      </c>
      <c r="B36" s="3">
        <v>35</v>
      </c>
      <c r="C36" s="3" t="s">
        <v>22</v>
      </c>
      <c r="D36" s="3" t="s">
        <v>66</v>
      </c>
      <c r="E36" s="2" t="s">
        <v>99</v>
      </c>
      <c r="F36" s="3" t="s">
        <v>59</v>
      </c>
      <c r="G36" s="4" t="s">
        <v>100</v>
      </c>
      <c r="H36" s="3">
        <v>2.5</v>
      </c>
      <c r="I36" s="3" t="s">
        <v>17</v>
      </c>
      <c r="J36" s="3"/>
      <c r="K36" s="2"/>
    </row>
    <row r="37" spans="1:11" x14ac:dyDescent="0.45">
      <c r="A37" s="2" t="s">
        <v>65</v>
      </c>
      <c r="B37" s="3">
        <v>36</v>
      </c>
      <c r="C37" s="3" t="s">
        <v>22</v>
      </c>
      <c r="D37" s="3" t="s">
        <v>66</v>
      </c>
      <c r="E37" s="2" t="s">
        <v>101</v>
      </c>
      <c r="F37" s="3" t="s">
        <v>19</v>
      </c>
      <c r="G37" s="4" t="s">
        <v>102</v>
      </c>
      <c r="H37" s="3">
        <v>0.4</v>
      </c>
      <c r="I37" s="3" t="s">
        <v>17</v>
      </c>
      <c r="J37" s="3"/>
      <c r="K37" s="2"/>
    </row>
    <row r="38" spans="1:11" x14ac:dyDescent="0.45">
      <c r="A38" s="2" t="s">
        <v>65</v>
      </c>
      <c r="B38" s="3">
        <v>37</v>
      </c>
      <c r="C38" s="3" t="s">
        <v>12</v>
      </c>
      <c r="D38" s="3" t="s">
        <v>66</v>
      </c>
      <c r="E38" s="2" t="s">
        <v>103</v>
      </c>
      <c r="F38" s="3" t="s">
        <v>30</v>
      </c>
      <c r="G38" s="4" t="s">
        <v>31</v>
      </c>
      <c r="H38" s="3">
        <v>0.3</v>
      </c>
      <c r="I38" s="3" t="s">
        <v>17</v>
      </c>
      <c r="J38" s="3"/>
      <c r="K38" s="2"/>
    </row>
    <row r="39" spans="1:11" x14ac:dyDescent="0.45">
      <c r="A39" s="2" t="s">
        <v>104</v>
      </c>
      <c r="B39" s="3">
        <v>38</v>
      </c>
      <c r="C39" s="3" t="s">
        <v>12</v>
      </c>
      <c r="D39" s="3" t="s">
        <v>105</v>
      </c>
      <c r="E39" s="2" t="s">
        <v>106</v>
      </c>
      <c r="F39" s="3" t="s">
        <v>30</v>
      </c>
      <c r="G39" s="4" t="s">
        <v>31</v>
      </c>
      <c r="H39" s="3">
        <v>0.4</v>
      </c>
      <c r="I39" s="3" t="s">
        <v>17</v>
      </c>
      <c r="J39" s="3"/>
      <c r="K39" s="2"/>
    </row>
    <row r="40" spans="1:11" x14ac:dyDescent="0.45">
      <c r="A40" s="2" t="s">
        <v>104</v>
      </c>
      <c r="B40" s="3">
        <v>39</v>
      </c>
      <c r="C40" s="3" t="s">
        <v>12</v>
      </c>
      <c r="D40" s="3" t="s">
        <v>105</v>
      </c>
      <c r="E40" s="2" t="s">
        <v>107</v>
      </c>
      <c r="F40" s="3" t="s">
        <v>19</v>
      </c>
      <c r="G40" s="4" t="s">
        <v>108</v>
      </c>
      <c r="H40" s="3">
        <v>1.2</v>
      </c>
      <c r="I40" s="3" t="s">
        <v>17</v>
      </c>
      <c r="J40" s="3"/>
      <c r="K40" s="2"/>
    </row>
    <row r="41" spans="1:11" ht="25.5" x14ac:dyDescent="0.45">
      <c r="A41" s="2" t="s">
        <v>104</v>
      </c>
      <c r="B41" s="3">
        <v>40</v>
      </c>
      <c r="C41" s="3" t="s">
        <v>12</v>
      </c>
      <c r="D41" s="3" t="s">
        <v>105</v>
      </c>
      <c r="E41" s="2" t="s">
        <v>109</v>
      </c>
      <c r="F41" s="3" t="s">
        <v>19</v>
      </c>
      <c r="G41" s="4" t="s">
        <v>110</v>
      </c>
      <c r="H41" s="3">
        <v>1</v>
      </c>
      <c r="I41" s="3" t="s">
        <v>17</v>
      </c>
      <c r="J41" s="3"/>
      <c r="K41" s="2" t="s">
        <v>111</v>
      </c>
    </row>
    <row r="42" spans="1:11" x14ac:dyDescent="0.45">
      <c r="A42" s="2" t="s">
        <v>104</v>
      </c>
      <c r="B42" s="3">
        <v>41</v>
      </c>
      <c r="C42" s="3" t="s">
        <v>12</v>
      </c>
      <c r="D42" s="3" t="s">
        <v>105</v>
      </c>
      <c r="E42" s="2" t="s">
        <v>112</v>
      </c>
      <c r="F42" s="3" t="s">
        <v>45</v>
      </c>
      <c r="G42" s="4" t="s">
        <v>46</v>
      </c>
      <c r="H42" s="3">
        <v>0.7</v>
      </c>
      <c r="I42" s="3" t="s">
        <v>17</v>
      </c>
      <c r="J42" s="3"/>
      <c r="K42" s="2"/>
    </row>
    <row r="43" spans="1:11" x14ac:dyDescent="0.45">
      <c r="A43" s="2" t="s">
        <v>104</v>
      </c>
      <c r="B43" s="3">
        <v>42</v>
      </c>
      <c r="C43" s="3" t="s">
        <v>12</v>
      </c>
      <c r="D43" s="3" t="s">
        <v>105</v>
      </c>
      <c r="E43" s="2" t="s">
        <v>113</v>
      </c>
      <c r="F43" s="3" t="s">
        <v>45</v>
      </c>
      <c r="G43" s="4" t="s">
        <v>46</v>
      </c>
      <c r="H43" s="3">
        <v>0.5</v>
      </c>
      <c r="I43" s="3" t="s">
        <v>17</v>
      </c>
      <c r="J43" s="3"/>
      <c r="K43" s="2"/>
    </row>
    <row r="44" spans="1:11" x14ac:dyDescent="0.45">
      <c r="A44" s="2" t="s">
        <v>104</v>
      </c>
      <c r="B44" s="3">
        <v>43</v>
      </c>
      <c r="C44" s="3" t="s">
        <v>12</v>
      </c>
      <c r="D44" s="3" t="s">
        <v>105</v>
      </c>
      <c r="E44" s="2" t="s">
        <v>114</v>
      </c>
      <c r="F44" s="3" t="s">
        <v>45</v>
      </c>
      <c r="G44" s="4" t="s">
        <v>46</v>
      </c>
      <c r="H44" s="3">
        <v>0.8</v>
      </c>
      <c r="I44" s="3" t="s">
        <v>17</v>
      </c>
      <c r="J44" s="3"/>
      <c r="K44" s="2"/>
    </row>
    <row r="45" spans="1:11" x14ac:dyDescent="0.45">
      <c r="A45" s="2" t="s">
        <v>104</v>
      </c>
      <c r="B45" s="3">
        <v>44</v>
      </c>
      <c r="C45" s="3" t="s">
        <v>22</v>
      </c>
      <c r="D45" s="3" t="s">
        <v>105</v>
      </c>
      <c r="E45" s="2" t="s">
        <v>115</v>
      </c>
      <c r="F45" s="3" t="s">
        <v>19</v>
      </c>
      <c r="G45" s="4" t="s">
        <v>116</v>
      </c>
      <c r="H45" s="3">
        <v>0.5</v>
      </c>
      <c r="I45" s="3" t="s">
        <v>17</v>
      </c>
      <c r="J45" s="3"/>
      <c r="K45" s="2"/>
    </row>
    <row r="46" spans="1:11" x14ac:dyDescent="0.45">
      <c r="A46" s="2" t="s">
        <v>104</v>
      </c>
      <c r="B46" s="3">
        <v>45</v>
      </c>
      <c r="C46" s="3" t="s">
        <v>22</v>
      </c>
      <c r="D46" s="3" t="s">
        <v>105</v>
      </c>
      <c r="E46" s="2" t="s">
        <v>117</v>
      </c>
      <c r="F46" s="3" t="s">
        <v>59</v>
      </c>
      <c r="G46" s="4" t="s">
        <v>100</v>
      </c>
      <c r="H46" s="3">
        <v>2</v>
      </c>
      <c r="I46" s="3" t="s">
        <v>17</v>
      </c>
      <c r="J46" s="3"/>
      <c r="K46" s="2"/>
    </row>
    <row r="47" spans="1:11" x14ac:dyDescent="0.45">
      <c r="A47" s="2" t="s">
        <v>104</v>
      </c>
      <c r="B47" s="3">
        <v>46</v>
      </c>
      <c r="C47" s="3" t="s">
        <v>12</v>
      </c>
      <c r="D47" s="3" t="s">
        <v>105</v>
      </c>
      <c r="E47" s="2" t="s">
        <v>118</v>
      </c>
      <c r="F47" s="3" t="s">
        <v>30</v>
      </c>
      <c r="G47" s="4" t="s">
        <v>31</v>
      </c>
      <c r="H47" s="3">
        <v>0.3</v>
      </c>
      <c r="I47" s="3" t="s">
        <v>17</v>
      </c>
      <c r="J47" s="3"/>
      <c r="K47" s="2"/>
    </row>
    <row r="48" spans="1:11" x14ac:dyDescent="0.45">
      <c r="A48" s="2" t="s">
        <v>119</v>
      </c>
      <c r="B48" s="3">
        <v>47</v>
      </c>
      <c r="C48" s="3" t="s">
        <v>12</v>
      </c>
      <c r="D48" s="3" t="s">
        <v>120</v>
      </c>
      <c r="E48" s="2" t="s">
        <v>121</v>
      </c>
      <c r="F48" s="3" t="s">
        <v>30</v>
      </c>
      <c r="G48" s="4" t="s">
        <v>31</v>
      </c>
      <c r="H48" s="3">
        <v>0.4</v>
      </c>
      <c r="I48" s="3" t="s">
        <v>17</v>
      </c>
      <c r="J48" s="3"/>
      <c r="K48" s="2"/>
    </row>
    <row r="49" spans="1:11" ht="25.5" x14ac:dyDescent="0.45">
      <c r="A49" s="2" t="s">
        <v>119</v>
      </c>
      <c r="B49" s="3">
        <v>48</v>
      </c>
      <c r="C49" s="3" t="s">
        <v>12</v>
      </c>
      <c r="D49" s="3" t="s">
        <v>120</v>
      </c>
      <c r="E49" s="2" t="s">
        <v>122</v>
      </c>
      <c r="F49" s="3" t="s">
        <v>19</v>
      </c>
      <c r="G49" s="4" t="s">
        <v>123</v>
      </c>
      <c r="H49" s="3">
        <v>0.9</v>
      </c>
      <c r="I49" s="3" t="s">
        <v>17</v>
      </c>
      <c r="J49" s="3"/>
      <c r="K49" s="2" t="s">
        <v>124</v>
      </c>
    </row>
    <row r="50" spans="1:11" x14ac:dyDescent="0.45">
      <c r="A50" s="2" t="s">
        <v>119</v>
      </c>
      <c r="B50" s="3">
        <v>49</v>
      </c>
      <c r="C50" s="3" t="s">
        <v>12</v>
      </c>
      <c r="D50" s="3" t="s">
        <v>120</v>
      </c>
      <c r="E50" s="2" t="s">
        <v>125</v>
      </c>
      <c r="F50" s="3" t="s">
        <v>33</v>
      </c>
      <c r="G50" s="4" t="s">
        <v>34</v>
      </c>
      <c r="H50" s="3">
        <v>0.7</v>
      </c>
      <c r="I50" s="3" t="s">
        <v>17</v>
      </c>
      <c r="J50" s="3"/>
      <c r="K50" s="2"/>
    </row>
    <row r="51" spans="1:11" x14ac:dyDescent="0.45">
      <c r="A51" s="2" t="s">
        <v>119</v>
      </c>
      <c r="B51" s="3">
        <v>50</v>
      </c>
      <c r="C51" s="3" t="s">
        <v>12</v>
      </c>
      <c r="D51" s="3" t="s">
        <v>120</v>
      </c>
      <c r="E51" s="2" t="s">
        <v>126</v>
      </c>
      <c r="F51" s="3" t="s">
        <v>45</v>
      </c>
      <c r="G51" s="4" t="s">
        <v>46</v>
      </c>
      <c r="H51" s="3">
        <v>0.6</v>
      </c>
      <c r="I51" s="3" t="s">
        <v>17</v>
      </c>
      <c r="J51" s="3"/>
      <c r="K51" s="2"/>
    </row>
    <row r="52" spans="1:11" x14ac:dyDescent="0.45">
      <c r="A52" s="2" t="s">
        <v>119</v>
      </c>
      <c r="B52" s="3">
        <v>51</v>
      </c>
      <c r="C52" s="3" t="s">
        <v>12</v>
      </c>
      <c r="D52" s="3" t="s">
        <v>120</v>
      </c>
      <c r="E52" s="2" t="s">
        <v>127</v>
      </c>
      <c r="F52" s="3" t="s">
        <v>45</v>
      </c>
      <c r="G52" s="4" t="s">
        <v>46</v>
      </c>
      <c r="H52" s="3">
        <v>0.8</v>
      </c>
      <c r="I52" s="3" t="s">
        <v>17</v>
      </c>
      <c r="J52" s="3"/>
      <c r="K52" s="2"/>
    </row>
    <row r="53" spans="1:11" x14ac:dyDescent="0.45">
      <c r="A53" s="2" t="s">
        <v>119</v>
      </c>
      <c r="B53" s="3">
        <v>52</v>
      </c>
      <c r="C53" s="3" t="s">
        <v>12</v>
      </c>
      <c r="D53" s="3" t="s">
        <v>120</v>
      </c>
      <c r="E53" s="2" t="s">
        <v>128</v>
      </c>
      <c r="F53" s="3" t="s">
        <v>45</v>
      </c>
      <c r="G53" s="4" t="s">
        <v>46</v>
      </c>
      <c r="H53" s="3">
        <v>0.7</v>
      </c>
      <c r="I53" s="3" t="s">
        <v>17</v>
      </c>
      <c r="J53" s="3"/>
      <c r="K53" s="2"/>
    </row>
    <row r="54" spans="1:11" x14ac:dyDescent="0.45">
      <c r="A54" s="2" t="s">
        <v>119</v>
      </c>
      <c r="B54" s="3">
        <v>53</v>
      </c>
      <c r="C54" s="3" t="s">
        <v>22</v>
      </c>
      <c r="D54" s="3" t="s">
        <v>120</v>
      </c>
      <c r="E54" s="2" t="s">
        <v>129</v>
      </c>
      <c r="F54" s="3" t="s">
        <v>19</v>
      </c>
      <c r="G54" s="4" t="s">
        <v>130</v>
      </c>
      <c r="H54" s="3">
        <v>0.4</v>
      </c>
      <c r="I54" s="3" t="s">
        <v>17</v>
      </c>
      <c r="J54" s="3"/>
      <c r="K54" s="2"/>
    </row>
    <row r="55" spans="1:11" x14ac:dyDescent="0.45">
      <c r="A55" s="2" t="s">
        <v>119</v>
      </c>
      <c r="B55" s="3">
        <v>54</v>
      </c>
      <c r="C55" s="3" t="s">
        <v>12</v>
      </c>
      <c r="D55" s="3" t="s">
        <v>120</v>
      </c>
      <c r="E55" s="2" t="s">
        <v>131</v>
      </c>
      <c r="F55" s="3" t="s">
        <v>30</v>
      </c>
      <c r="G55" s="4" t="s">
        <v>31</v>
      </c>
      <c r="H55" s="3">
        <v>0.3</v>
      </c>
      <c r="I55" s="3" t="s">
        <v>17</v>
      </c>
      <c r="J55" s="3"/>
      <c r="K55" s="2"/>
    </row>
    <row r="56" spans="1:11" x14ac:dyDescent="0.45">
      <c r="A56" s="2" t="s">
        <v>132</v>
      </c>
      <c r="B56" s="3">
        <v>55</v>
      </c>
      <c r="C56" s="3" t="s">
        <v>22</v>
      </c>
      <c r="D56" s="3" t="s">
        <v>13</v>
      </c>
      <c r="E56" s="2" t="s">
        <v>133</v>
      </c>
      <c r="F56" s="3" t="s">
        <v>134</v>
      </c>
      <c r="G56" s="4" t="s">
        <v>135</v>
      </c>
      <c r="H56" s="3">
        <v>0.5</v>
      </c>
      <c r="I56" s="3" t="s">
        <v>17</v>
      </c>
      <c r="J56" s="3"/>
      <c r="K56" s="2" t="s">
        <v>136</v>
      </c>
    </row>
    <row r="57" spans="1:11" x14ac:dyDescent="0.45">
      <c r="A57" s="2" t="s">
        <v>132</v>
      </c>
      <c r="B57" s="3">
        <v>56</v>
      </c>
      <c r="C57" s="3" t="s">
        <v>12</v>
      </c>
      <c r="D57" s="3" t="s">
        <v>13</v>
      </c>
      <c r="E57" s="2" t="s">
        <v>137</v>
      </c>
      <c r="F57" s="3" t="s">
        <v>30</v>
      </c>
      <c r="G57" s="4" t="s">
        <v>31</v>
      </c>
      <c r="H57" s="3">
        <v>0.8</v>
      </c>
      <c r="I57" s="3" t="s">
        <v>17</v>
      </c>
      <c r="J57" s="3"/>
      <c r="K57" s="2"/>
    </row>
    <row r="58" spans="1:11" x14ac:dyDescent="0.45">
      <c r="A58" s="2" t="s">
        <v>132</v>
      </c>
      <c r="B58" s="3">
        <v>57</v>
      </c>
      <c r="C58" s="3" t="s">
        <v>22</v>
      </c>
      <c r="D58" s="3" t="s">
        <v>13</v>
      </c>
      <c r="E58" s="2" t="s">
        <v>138</v>
      </c>
      <c r="F58" s="3" t="s">
        <v>139</v>
      </c>
      <c r="G58" s="4" t="s">
        <v>140</v>
      </c>
      <c r="H58" s="3">
        <v>2</v>
      </c>
      <c r="I58" s="3" t="s">
        <v>17</v>
      </c>
      <c r="J58" s="3"/>
      <c r="K58" s="2"/>
    </row>
    <row r="59" spans="1:11" x14ac:dyDescent="0.45">
      <c r="A59" s="2" t="s">
        <v>132</v>
      </c>
      <c r="B59" s="3">
        <v>58</v>
      </c>
      <c r="C59" s="3" t="s">
        <v>22</v>
      </c>
      <c r="D59" s="3" t="s">
        <v>13</v>
      </c>
      <c r="E59" s="2" t="s">
        <v>141</v>
      </c>
      <c r="F59" s="3" t="s">
        <v>139</v>
      </c>
      <c r="G59" s="4" t="s">
        <v>142</v>
      </c>
      <c r="H59" s="3">
        <v>2.5</v>
      </c>
      <c r="I59" s="3" t="s">
        <v>17</v>
      </c>
      <c r="J59" s="3"/>
      <c r="K59" s="2"/>
    </row>
    <row r="60" spans="1:11" x14ac:dyDescent="0.45">
      <c r="A60" s="2" t="s">
        <v>132</v>
      </c>
      <c r="B60" s="3">
        <v>59</v>
      </c>
      <c r="C60" s="3" t="s">
        <v>12</v>
      </c>
      <c r="D60" s="3" t="s">
        <v>13</v>
      </c>
      <c r="E60" s="2" t="s">
        <v>143</v>
      </c>
      <c r="F60" s="3" t="s">
        <v>139</v>
      </c>
      <c r="G60" s="4" t="s">
        <v>20</v>
      </c>
      <c r="H60" s="3">
        <v>1.5</v>
      </c>
      <c r="I60" s="3" t="s">
        <v>17</v>
      </c>
      <c r="J60" s="3"/>
      <c r="K60" s="2"/>
    </row>
    <row r="61" spans="1:11" x14ac:dyDescent="0.45">
      <c r="A61" s="2" t="s">
        <v>132</v>
      </c>
      <c r="B61" s="3">
        <v>60</v>
      </c>
      <c r="C61" s="3" t="s">
        <v>12</v>
      </c>
      <c r="D61" s="3" t="s">
        <v>13</v>
      </c>
      <c r="E61" s="2" t="s">
        <v>144</v>
      </c>
      <c r="F61" s="3" t="s">
        <v>24</v>
      </c>
      <c r="G61" s="4" t="s">
        <v>25</v>
      </c>
      <c r="H61" s="3">
        <v>0.5</v>
      </c>
      <c r="I61" s="3" t="s">
        <v>17</v>
      </c>
      <c r="J61" s="3"/>
      <c r="K61" s="2"/>
    </row>
  </sheetData>
  <autoFilter ref="A1:K61" xr:uid="{00000000-0009-0000-0000-000000000000}"/>
  <conditionalFormatting sqref="A2:K61">
    <cfRule type="expression" dxfId="2" priority="2">
      <formula>$I2="Done"</formula>
    </cfRule>
    <cfRule type="expression" dxfId="1" priority="3">
      <formula>$I2="In Progress"</formula>
    </cfRule>
  </conditionalFormatting>
  <conditionalFormatting sqref="C2:C61">
    <cfRule type="expression" dxfId="0" priority="4">
      <formula>$C2="HIGH"</formula>
    </cfRule>
  </conditionalFormatting>
  <dataValidations count="1">
    <dataValidation type="list" allowBlank="1" error="Pick from the list: Not Started, In Progress, Done" sqref="I2:I61" xr:uid="{00000000-0002-0000-0000-000000000000}">
      <formula1>"Not Started,In Progress,Done"</formula1>
      <formula2>0</formula2>
    </dataValidation>
  </dataValidations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abSelected="1" zoomScaleNormal="100" workbookViewId="0">
      <selection activeCell="I11" sqref="I11"/>
    </sheetView>
  </sheetViews>
  <sheetFormatPr defaultColWidth="8.6640625" defaultRowHeight="14.25" x14ac:dyDescent="0.45"/>
  <cols>
    <col min="1" max="1" width="78" customWidth="1"/>
    <col min="2" max="2" width="9" customWidth="1"/>
    <col min="3" max="3" width="16" customWidth="1"/>
    <col min="4" max="4" width="11" customWidth="1"/>
    <col min="5" max="5" width="12" customWidth="1"/>
  </cols>
  <sheetData>
    <row r="1" spans="1:4" ht="17.649999999999999" x14ac:dyDescent="0.5">
      <c r="A1" s="5" t="s">
        <v>145</v>
      </c>
    </row>
    <row r="3" spans="1:4" x14ac:dyDescent="0.45">
      <c r="A3" s="6" t="s">
        <v>146</v>
      </c>
      <c r="B3" s="7">
        <f>COUNTIF(Checklist!$I$2:$I$61,"Done")/60</f>
        <v>0</v>
      </c>
      <c r="C3" s="6" t="s">
        <v>147</v>
      </c>
      <c r="D3" s="8">
        <f>SUMIFS(Checklist!$H$2:$H$61,Checklist!$I$2:$I$61,"&lt;&gt;Done")</f>
        <v>45.399999999999991</v>
      </c>
    </row>
    <row r="5" spans="1:4" x14ac:dyDescent="0.45">
      <c r="A5" s="6" t="s">
        <v>148</v>
      </c>
    </row>
    <row r="6" spans="1:4" x14ac:dyDescent="0.45">
      <c r="A6" s="9" t="s">
        <v>0</v>
      </c>
      <c r="B6" s="9" t="s">
        <v>149</v>
      </c>
      <c r="C6" s="9" t="s">
        <v>150</v>
      </c>
      <c r="D6" s="9" t="s">
        <v>151</v>
      </c>
    </row>
    <row r="7" spans="1:4" x14ac:dyDescent="0.45">
      <c r="A7" s="10" t="s">
        <v>11</v>
      </c>
      <c r="B7" s="10">
        <f>COUNTIFS(Checklist!$A$2:$A$61,A7,Checklist!$I$2:$I$61,"Done")</f>
        <v>0</v>
      </c>
      <c r="C7" s="10">
        <f>COUNTIF(Checklist!$A$2:$A$61,A7)</f>
        <v>3</v>
      </c>
      <c r="D7" s="11">
        <f t="shared" ref="D7:D13" si="0">IF(C7=0,0,B7/C7)</f>
        <v>0</v>
      </c>
    </row>
    <row r="8" spans="1:4" x14ac:dyDescent="0.45">
      <c r="A8" s="10" t="s">
        <v>27</v>
      </c>
      <c r="B8" s="10">
        <f>COUNTIFS(Checklist!$A$2:$A$61,A8,Checklist!$I$2:$I$61,"Done")</f>
        <v>0</v>
      </c>
      <c r="C8" s="10">
        <f>COUNTIF(Checklist!$A$2:$A$61,A8)</f>
        <v>9</v>
      </c>
      <c r="D8" s="11">
        <f t="shared" si="0"/>
        <v>0</v>
      </c>
    </row>
    <row r="9" spans="1:4" x14ac:dyDescent="0.45">
      <c r="A9" s="10" t="s">
        <v>50</v>
      </c>
      <c r="B9" s="10">
        <f>COUNTIFS(Checklist!$A$2:$A$61,A9,Checklist!$I$2:$I$61,"Done")</f>
        <v>0</v>
      </c>
      <c r="C9" s="10">
        <f>COUNTIF(Checklist!$A$2:$A$61,A9)</f>
        <v>8</v>
      </c>
      <c r="D9" s="11">
        <f t="shared" si="0"/>
        <v>0</v>
      </c>
    </row>
    <row r="10" spans="1:4" x14ac:dyDescent="0.45">
      <c r="A10" s="10" t="s">
        <v>65</v>
      </c>
      <c r="B10" s="10">
        <f>COUNTIFS(Checklist!$A$2:$A$61,A10,Checklist!$I$2:$I$61,"Done")</f>
        <v>0</v>
      </c>
      <c r="C10" s="10">
        <f>COUNTIF(Checklist!$A$2:$A$61,A10)</f>
        <v>17</v>
      </c>
      <c r="D10" s="11">
        <f t="shared" si="0"/>
        <v>0</v>
      </c>
    </row>
    <row r="11" spans="1:4" x14ac:dyDescent="0.45">
      <c r="A11" s="10" t="s">
        <v>104</v>
      </c>
      <c r="B11" s="10">
        <f>COUNTIFS(Checklist!$A$2:$A$61,A11,Checklist!$I$2:$I$61,"Done")</f>
        <v>0</v>
      </c>
      <c r="C11" s="10">
        <f>COUNTIF(Checklist!$A$2:$A$61,A11)</f>
        <v>9</v>
      </c>
      <c r="D11" s="11">
        <f t="shared" si="0"/>
        <v>0</v>
      </c>
    </row>
    <row r="12" spans="1:4" x14ac:dyDescent="0.45">
      <c r="A12" s="10" t="s">
        <v>119</v>
      </c>
      <c r="B12" s="10">
        <f>COUNTIFS(Checklist!$A$2:$A$61,A12,Checklist!$I$2:$I$61,"Done")</f>
        <v>0</v>
      </c>
      <c r="C12" s="10">
        <f>COUNTIF(Checklist!$A$2:$A$61,A12)</f>
        <v>8</v>
      </c>
      <c r="D12" s="11">
        <f t="shared" si="0"/>
        <v>0</v>
      </c>
    </row>
    <row r="13" spans="1:4" x14ac:dyDescent="0.45">
      <c r="A13" s="10" t="s">
        <v>132</v>
      </c>
      <c r="B13" s="10">
        <f>COUNTIFS(Checklist!$A$2:$A$61,A13,Checklist!$I$2:$I$61,"Done")</f>
        <v>0</v>
      </c>
      <c r="C13" s="10">
        <f>COUNTIF(Checklist!$A$2:$A$61,A13)</f>
        <v>6</v>
      </c>
      <c r="D13" s="11">
        <f t="shared" si="0"/>
        <v>0</v>
      </c>
    </row>
    <row r="16" spans="1:4" x14ac:dyDescent="0.45">
      <c r="A16" s="6" t="s">
        <v>152</v>
      </c>
    </row>
    <row r="17" spans="1:5" x14ac:dyDescent="0.45">
      <c r="A17" s="9" t="s">
        <v>3</v>
      </c>
      <c r="B17" s="9" t="s">
        <v>149</v>
      </c>
      <c r="C17" s="9" t="s">
        <v>150</v>
      </c>
      <c r="D17" s="9" t="s">
        <v>151</v>
      </c>
      <c r="E17" s="9" t="s">
        <v>153</v>
      </c>
    </row>
    <row r="18" spans="1:5" x14ac:dyDescent="0.45">
      <c r="A18" s="10" t="s">
        <v>154</v>
      </c>
      <c r="B18" s="10">
        <f>COUNTIFS(Checklist!$D$2:$D$61,"D1",Checklist!$I$2:$I$61,"Done")</f>
        <v>0</v>
      </c>
      <c r="C18" s="10">
        <f>COUNTIF(Checklist!$D$2:$D$61,"D1")</f>
        <v>9</v>
      </c>
      <c r="D18" s="11">
        <f t="shared" ref="D18:D23" si="1">IF(C18=0,0,B18/C18)</f>
        <v>0</v>
      </c>
      <c r="E18" s="11">
        <v>0.27</v>
      </c>
    </row>
    <row r="19" spans="1:5" x14ac:dyDescent="0.45">
      <c r="A19" s="10" t="s">
        <v>155</v>
      </c>
      <c r="B19" s="10">
        <f>COUNTIFS(Checklist!$D$2:$D$61,"D2",Checklist!$I$2:$I$61,"Done")</f>
        <v>0</v>
      </c>
      <c r="C19" s="10">
        <f>COUNTIF(Checklist!$D$2:$D$61,"D2")</f>
        <v>8</v>
      </c>
      <c r="D19" s="11">
        <f t="shared" si="1"/>
        <v>0</v>
      </c>
      <c r="E19" s="11">
        <v>0.18</v>
      </c>
    </row>
    <row r="20" spans="1:5" x14ac:dyDescent="0.45">
      <c r="A20" s="10" t="s">
        <v>156</v>
      </c>
      <c r="B20" s="10">
        <f>COUNTIFS(Checklist!$D$2:$D$61,"D3",Checklist!$I$2:$I$61,"Done")</f>
        <v>0</v>
      </c>
      <c r="C20" s="10">
        <f>COUNTIF(Checklist!$D$2:$D$61,"D3")</f>
        <v>17</v>
      </c>
      <c r="D20" s="11">
        <f t="shared" si="1"/>
        <v>0</v>
      </c>
      <c r="E20" s="11">
        <v>0.2</v>
      </c>
    </row>
    <row r="21" spans="1:5" x14ac:dyDescent="0.45">
      <c r="A21" s="10" t="s">
        <v>157</v>
      </c>
      <c r="B21" s="10">
        <f>COUNTIFS(Checklist!$D$2:$D$61,"D4",Checklist!$I$2:$I$61,"Done")</f>
        <v>0</v>
      </c>
      <c r="C21" s="10">
        <f>COUNTIF(Checklist!$D$2:$D$61,"D4")</f>
        <v>9</v>
      </c>
      <c r="D21" s="11">
        <f t="shared" si="1"/>
        <v>0</v>
      </c>
      <c r="E21" s="11">
        <v>0.2</v>
      </c>
    </row>
    <row r="22" spans="1:5" x14ac:dyDescent="0.45">
      <c r="A22" s="10" t="s">
        <v>158</v>
      </c>
      <c r="B22" s="10">
        <f>COUNTIFS(Checklist!$D$2:$D$61,"D5",Checklist!$I$2:$I$61,"Done")</f>
        <v>0</v>
      </c>
      <c r="C22" s="10">
        <f>COUNTIF(Checklist!$D$2:$D$61,"D5")</f>
        <v>8</v>
      </c>
      <c r="D22" s="11">
        <f t="shared" si="1"/>
        <v>0</v>
      </c>
      <c r="E22" s="11">
        <v>0.15</v>
      </c>
    </row>
    <row r="23" spans="1:5" x14ac:dyDescent="0.45">
      <c r="A23" s="10" t="s">
        <v>159</v>
      </c>
      <c r="B23" s="10">
        <f>COUNTIFS(Checklist!$D$2:$D$61,"ALL",Checklist!$I$2:$I$61,"Done")</f>
        <v>0</v>
      </c>
      <c r="C23" s="10">
        <f>COUNTIF(Checklist!$D$2:$D$61,"ALL")</f>
        <v>9</v>
      </c>
      <c r="D23" s="11">
        <f t="shared" si="1"/>
        <v>0</v>
      </c>
      <c r="E23" s="12"/>
    </row>
    <row r="26" spans="1:5" x14ac:dyDescent="0.45">
      <c r="A26" s="6" t="s">
        <v>160</v>
      </c>
    </row>
    <row r="27" spans="1:5" x14ac:dyDescent="0.45">
      <c r="A27" s="13" t="s">
        <v>161</v>
      </c>
    </row>
    <row r="28" spans="1:5" x14ac:dyDescent="0.45">
      <c r="A28" s="13" t="s">
        <v>162</v>
      </c>
    </row>
    <row r="29" spans="1:5" x14ac:dyDescent="0.45">
      <c r="A29" s="13" t="s">
        <v>163</v>
      </c>
    </row>
    <row r="30" spans="1:5" x14ac:dyDescent="0.45">
      <c r="A30" s="13" t="s">
        <v>164</v>
      </c>
    </row>
    <row r="31" spans="1:5" x14ac:dyDescent="0.45">
      <c r="A31" s="13" t="s">
        <v>165</v>
      </c>
    </row>
    <row r="32" spans="1:5" x14ac:dyDescent="0.45">
      <c r="A32" s="13" t="s">
        <v>166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zoomScaleNormal="100" workbookViewId="0">
      <pane ySplit="4" topLeftCell="A5" activePane="bottomLeft" state="frozen"/>
      <selection pane="bottomLeft" activeCell="A2" sqref="A2"/>
    </sheetView>
  </sheetViews>
  <sheetFormatPr defaultColWidth="8.6640625" defaultRowHeight="14.25" x14ac:dyDescent="0.45"/>
  <cols>
    <col min="1" max="1" width="4" customWidth="1"/>
    <col min="2" max="2" width="9" customWidth="1"/>
    <col min="3" max="3" width="65.19921875" customWidth="1"/>
    <col min="4" max="4" width="42" customWidth="1"/>
    <col min="5" max="5" width="34" customWidth="1"/>
  </cols>
  <sheetData>
    <row r="1" spans="1:5" ht="17.649999999999999" x14ac:dyDescent="0.5">
      <c r="A1" s="5" t="s">
        <v>167</v>
      </c>
    </row>
    <row r="2" spans="1:5" x14ac:dyDescent="0.45">
      <c r="A2" s="13" t="s">
        <v>168</v>
      </c>
    </row>
    <row r="4" spans="1:5" x14ac:dyDescent="0.45">
      <c r="A4" s="14" t="s">
        <v>1</v>
      </c>
      <c r="B4" s="14" t="s">
        <v>3</v>
      </c>
      <c r="C4" s="14" t="s">
        <v>169</v>
      </c>
      <c r="D4" s="14" t="s">
        <v>170</v>
      </c>
      <c r="E4" s="14" t="s">
        <v>171</v>
      </c>
    </row>
    <row r="5" spans="1:5" ht="25.5" x14ac:dyDescent="0.45">
      <c r="A5" s="3">
        <v>1</v>
      </c>
      <c r="B5" s="3" t="s">
        <v>28</v>
      </c>
      <c r="C5" s="2" t="s">
        <v>172</v>
      </c>
      <c r="D5" s="2" t="s">
        <v>173</v>
      </c>
      <c r="E5" s="4" t="s">
        <v>174</v>
      </c>
    </row>
    <row r="6" spans="1:5" ht="25.5" x14ac:dyDescent="0.45">
      <c r="A6" s="3">
        <v>2</v>
      </c>
      <c r="B6" s="3" t="s">
        <v>28</v>
      </c>
      <c r="C6" s="2" t="s">
        <v>175</v>
      </c>
      <c r="D6" s="2" t="s">
        <v>176</v>
      </c>
      <c r="E6" s="4" t="s">
        <v>177</v>
      </c>
    </row>
    <row r="7" spans="1:5" ht="25.5" x14ac:dyDescent="0.45">
      <c r="A7" s="3">
        <v>3</v>
      </c>
      <c r="B7" s="3" t="s">
        <v>28</v>
      </c>
      <c r="C7" s="2" t="s">
        <v>178</v>
      </c>
      <c r="D7" s="2" t="s">
        <v>179</v>
      </c>
      <c r="E7" s="4" t="s">
        <v>180</v>
      </c>
    </row>
    <row r="8" spans="1:5" ht="25.5" x14ac:dyDescent="0.45">
      <c r="A8" s="3">
        <v>4</v>
      </c>
      <c r="B8" s="3" t="s">
        <v>28</v>
      </c>
      <c r="C8" s="2" t="s">
        <v>181</v>
      </c>
      <c r="D8" s="2" t="s">
        <v>182</v>
      </c>
      <c r="E8" s="4" t="s">
        <v>183</v>
      </c>
    </row>
    <row r="9" spans="1:5" ht="25.5" x14ac:dyDescent="0.45">
      <c r="A9" s="3">
        <v>5</v>
      </c>
      <c r="B9" s="3" t="s">
        <v>28</v>
      </c>
      <c r="C9" s="2" t="s">
        <v>184</v>
      </c>
      <c r="D9" s="2" t="s">
        <v>185</v>
      </c>
      <c r="E9" s="4" t="s">
        <v>186</v>
      </c>
    </row>
    <row r="10" spans="1:5" ht="25.5" x14ac:dyDescent="0.45">
      <c r="A10" s="3">
        <v>6</v>
      </c>
      <c r="B10" s="3" t="s">
        <v>28</v>
      </c>
      <c r="C10" s="2" t="s">
        <v>187</v>
      </c>
      <c r="D10" s="2" t="s">
        <v>188</v>
      </c>
      <c r="E10" s="4" t="s">
        <v>189</v>
      </c>
    </row>
    <row r="11" spans="1:5" ht="25.5" x14ac:dyDescent="0.45">
      <c r="A11" s="3">
        <v>7</v>
      </c>
      <c r="B11" s="3" t="s">
        <v>28</v>
      </c>
      <c r="C11" s="2" t="s">
        <v>190</v>
      </c>
      <c r="D11" s="2" t="s">
        <v>191</v>
      </c>
      <c r="E11" s="4" t="s">
        <v>192</v>
      </c>
    </row>
    <row r="12" spans="1:5" ht="25.5" x14ac:dyDescent="0.45">
      <c r="A12" s="3">
        <v>8</v>
      </c>
      <c r="B12" s="3" t="s">
        <v>66</v>
      </c>
      <c r="C12" s="2" t="s">
        <v>193</v>
      </c>
      <c r="D12" s="2" t="s">
        <v>194</v>
      </c>
      <c r="E12" s="4" t="s">
        <v>195</v>
      </c>
    </row>
    <row r="13" spans="1:5" ht="25.5" x14ac:dyDescent="0.45">
      <c r="A13" s="3">
        <v>9</v>
      </c>
      <c r="B13" s="3" t="s">
        <v>28</v>
      </c>
      <c r="C13" s="2" t="s">
        <v>196</v>
      </c>
      <c r="D13" s="2" t="s">
        <v>197</v>
      </c>
      <c r="E13" s="4" t="s">
        <v>198</v>
      </c>
    </row>
    <row r="14" spans="1:5" ht="25.5" x14ac:dyDescent="0.45">
      <c r="A14" s="3">
        <v>10</v>
      </c>
      <c r="B14" s="3" t="s">
        <v>28</v>
      </c>
      <c r="C14" s="2" t="s">
        <v>199</v>
      </c>
      <c r="D14" s="2" t="s">
        <v>191</v>
      </c>
      <c r="E14" s="4" t="s">
        <v>200</v>
      </c>
    </row>
    <row r="15" spans="1:5" ht="25.5" x14ac:dyDescent="0.45">
      <c r="A15" s="3">
        <v>11</v>
      </c>
      <c r="B15" s="3" t="s">
        <v>66</v>
      </c>
      <c r="C15" s="2" t="s">
        <v>201</v>
      </c>
      <c r="D15" s="2" t="s">
        <v>202</v>
      </c>
      <c r="E15" s="4" t="s">
        <v>203</v>
      </c>
    </row>
    <row r="16" spans="1:5" ht="25.5" x14ac:dyDescent="0.45">
      <c r="A16" s="3">
        <v>12</v>
      </c>
      <c r="B16" s="3" t="s">
        <v>105</v>
      </c>
      <c r="C16" s="2" t="s">
        <v>204</v>
      </c>
      <c r="D16" s="2" t="s">
        <v>205</v>
      </c>
      <c r="E16" s="4" t="s">
        <v>206</v>
      </c>
    </row>
    <row r="17" spans="1:5" ht="25.5" x14ac:dyDescent="0.45">
      <c r="A17" s="3">
        <v>13</v>
      </c>
      <c r="B17" s="3" t="s">
        <v>66</v>
      </c>
      <c r="C17" s="2" t="s">
        <v>207</v>
      </c>
      <c r="D17" s="2" t="s">
        <v>208</v>
      </c>
      <c r="E17" s="4" t="s">
        <v>209</v>
      </c>
    </row>
    <row r="18" spans="1:5" ht="25.5" x14ac:dyDescent="0.45">
      <c r="A18" s="3">
        <v>14</v>
      </c>
      <c r="B18" s="3" t="s">
        <v>66</v>
      </c>
      <c r="C18" s="2" t="s">
        <v>210</v>
      </c>
      <c r="D18" s="2" t="s">
        <v>211</v>
      </c>
      <c r="E18" s="4" t="s">
        <v>212</v>
      </c>
    </row>
    <row r="19" spans="1:5" ht="25.5" x14ac:dyDescent="0.45">
      <c r="A19" s="3">
        <v>15</v>
      </c>
      <c r="B19" s="3" t="s">
        <v>66</v>
      </c>
      <c r="C19" s="2" t="s">
        <v>213</v>
      </c>
      <c r="D19" s="2" t="s">
        <v>214</v>
      </c>
      <c r="E19" s="4" t="s">
        <v>215</v>
      </c>
    </row>
    <row r="20" spans="1:5" ht="25.5" x14ac:dyDescent="0.45">
      <c r="A20" s="3">
        <v>16</v>
      </c>
      <c r="B20" s="3" t="s">
        <v>66</v>
      </c>
      <c r="C20" s="2" t="s">
        <v>216</v>
      </c>
      <c r="D20" s="2" t="s">
        <v>217</v>
      </c>
      <c r="E20" s="4" t="s">
        <v>218</v>
      </c>
    </row>
    <row r="21" spans="1:5" ht="25.5" x14ac:dyDescent="0.45">
      <c r="A21" s="3">
        <v>17</v>
      </c>
      <c r="B21" s="3" t="s">
        <v>66</v>
      </c>
      <c r="C21" s="2" t="s">
        <v>219</v>
      </c>
      <c r="D21" s="2" t="s">
        <v>220</v>
      </c>
      <c r="E21" s="4" t="s">
        <v>221</v>
      </c>
    </row>
    <row r="22" spans="1:5" ht="25.5" x14ac:dyDescent="0.45">
      <c r="A22" s="3">
        <v>18</v>
      </c>
      <c r="B22" s="3" t="s">
        <v>28</v>
      </c>
      <c r="C22" s="2" t="s">
        <v>222</v>
      </c>
      <c r="D22" s="2" t="s">
        <v>223</v>
      </c>
      <c r="E22" s="4" t="s">
        <v>224</v>
      </c>
    </row>
    <row r="23" spans="1:5" ht="25.5" x14ac:dyDescent="0.45">
      <c r="A23" s="3">
        <v>19</v>
      </c>
      <c r="B23" s="3" t="s">
        <v>28</v>
      </c>
      <c r="C23" s="2" t="s">
        <v>225</v>
      </c>
      <c r="D23" s="2" t="s">
        <v>226</v>
      </c>
      <c r="E23" s="4" t="s">
        <v>227</v>
      </c>
    </row>
    <row r="24" spans="1:5" ht="25.5" x14ac:dyDescent="0.45">
      <c r="A24" s="3">
        <v>20</v>
      </c>
      <c r="B24" s="3" t="s">
        <v>120</v>
      </c>
      <c r="C24" s="2" t="s">
        <v>228</v>
      </c>
      <c r="D24" s="2" t="s">
        <v>229</v>
      </c>
      <c r="E24" s="4" t="s">
        <v>230</v>
      </c>
    </row>
    <row r="25" spans="1:5" ht="25.5" x14ac:dyDescent="0.45">
      <c r="A25" s="3">
        <v>21</v>
      </c>
      <c r="B25" s="3" t="s">
        <v>120</v>
      </c>
      <c r="C25" s="2" t="s">
        <v>231</v>
      </c>
      <c r="D25" s="2" t="s">
        <v>232</v>
      </c>
      <c r="E25" s="4" t="s">
        <v>233</v>
      </c>
    </row>
    <row r="26" spans="1:5" ht="25.5" x14ac:dyDescent="0.45">
      <c r="A26" s="3">
        <v>22</v>
      </c>
      <c r="B26" s="3" t="s">
        <v>120</v>
      </c>
      <c r="C26" s="2" t="s">
        <v>234</v>
      </c>
      <c r="D26" s="2" t="s">
        <v>235</v>
      </c>
      <c r="E26" s="4" t="s">
        <v>236</v>
      </c>
    </row>
    <row r="27" spans="1:5" ht="38.25" x14ac:dyDescent="0.45">
      <c r="A27" s="3">
        <v>23</v>
      </c>
      <c r="B27" s="3" t="s">
        <v>120</v>
      </c>
      <c r="C27" s="2" t="s">
        <v>237</v>
      </c>
      <c r="D27" s="2" t="s">
        <v>238</v>
      </c>
      <c r="E27" s="4" t="s">
        <v>239</v>
      </c>
    </row>
    <row r="28" spans="1:5" ht="38.25" x14ac:dyDescent="0.45">
      <c r="A28" s="3">
        <v>24</v>
      </c>
      <c r="B28" s="3" t="s">
        <v>105</v>
      </c>
      <c r="C28" s="2" t="s">
        <v>240</v>
      </c>
      <c r="D28" s="2" t="s">
        <v>241</v>
      </c>
      <c r="E28" s="4" t="s">
        <v>206</v>
      </c>
    </row>
    <row r="29" spans="1:5" ht="25.5" x14ac:dyDescent="0.45">
      <c r="A29" s="3">
        <v>25</v>
      </c>
      <c r="B29" s="3" t="s">
        <v>105</v>
      </c>
      <c r="C29" s="2" t="s">
        <v>242</v>
      </c>
      <c r="D29" s="2" t="s">
        <v>243</v>
      </c>
      <c r="E29" s="4" t="s">
        <v>244</v>
      </c>
    </row>
    <row r="30" spans="1:5" ht="25.5" x14ac:dyDescent="0.45">
      <c r="A30" s="3">
        <v>26</v>
      </c>
      <c r="B30" s="3" t="s">
        <v>105</v>
      </c>
      <c r="C30" s="2" t="s">
        <v>245</v>
      </c>
      <c r="D30" s="2" t="s">
        <v>246</v>
      </c>
      <c r="E30" s="4" t="s">
        <v>244</v>
      </c>
    </row>
    <row r="31" spans="1:5" ht="25.5" x14ac:dyDescent="0.45">
      <c r="A31" s="3">
        <v>27</v>
      </c>
      <c r="B31" s="3" t="s">
        <v>105</v>
      </c>
      <c r="C31" s="2" t="s">
        <v>247</v>
      </c>
      <c r="D31" s="2" t="s">
        <v>248</v>
      </c>
      <c r="E31" s="4" t="s">
        <v>174</v>
      </c>
    </row>
    <row r="32" spans="1:5" ht="25.5" x14ac:dyDescent="0.45">
      <c r="A32" s="3">
        <v>28</v>
      </c>
      <c r="B32" s="3" t="s">
        <v>105</v>
      </c>
      <c r="C32" s="2" t="s">
        <v>249</v>
      </c>
      <c r="D32" s="2" t="s">
        <v>250</v>
      </c>
      <c r="E32" s="4" t="s">
        <v>244</v>
      </c>
    </row>
    <row r="33" spans="1:5" ht="38.25" x14ac:dyDescent="0.45">
      <c r="A33" s="3">
        <v>29</v>
      </c>
      <c r="B33" s="3" t="s">
        <v>105</v>
      </c>
      <c r="C33" s="2" t="s">
        <v>251</v>
      </c>
      <c r="D33" s="2" t="s">
        <v>252</v>
      </c>
      <c r="E33" s="4" t="s">
        <v>253</v>
      </c>
    </row>
    <row r="34" spans="1:5" ht="25.5" x14ac:dyDescent="0.45">
      <c r="A34" s="3">
        <v>30</v>
      </c>
      <c r="B34" s="3" t="s">
        <v>66</v>
      </c>
      <c r="C34" s="2" t="s">
        <v>254</v>
      </c>
      <c r="D34" s="2" t="s">
        <v>255</v>
      </c>
      <c r="E34" s="4" t="s">
        <v>256</v>
      </c>
    </row>
    <row r="35" spans="1:5" ht="25.5" x14ac:dyDescent="0.45">
      <c r="A35" s="3">
        <v>31</v>
      </c>
      <c r="B35" s="3" t="s">
        <v>105</v>
      </c>
      <c r="C35" s="2" t="s">
        <v>257</v>
      </c>
      <c r="D35" s="2" t="s">
        <v>258</v>
      </c>
      <c r="E35" s="4" t="s">
        <v>206</v>
      </c>
    </row>
    <row r="36" spans="1:5" ht="25.5" x14ac:dyDescent="0.45">
      <c r="A36" s="3">
        <v>32</v>
      </c>
      <c r="B36" s="3" t="s">
        <v>66</v>
      </c>
      <c r="C36" s="2" t="s">
        <v>259</v>
      </c>
      <c r="D36" s="2" t="s">
        <v>220</v>
      </c>
      <c r="E36" s="4" t="s">
        <v>260</v>
      </c>
    </row>
    <row r="37" spans="1:5" ht="25.5" x14ac:dyDescent="0.45">
      <c r="A37" s="3">
        <v>33</v>
      </c>
      <c r="B37" s="3" t="s">
        <v>51</v>
      </c>
      <c r="C37" s="2" t="s">
        <v>261</v>
      </c>
      <c r="D37" s="2" t="s">
        <v>262</v>
      </c>
      <c r="E37" s="4" t="s">
        <v>263</v>
      </c>
    </row>
    <row r="38" spans="1:5" ht="25.5" x14ac:dyDescent="0.45">
      <c r="A38" s="3">
        <v>34</v>
      </c>
      <c r="B38" s="3" t="s">
        <v>51</v>
      </c>
      <c r="C38" s="2" t="s">
        <v>264</v>
      </c>
      <c r="D38" s="2" t="s">
        <v>265</v>
      </c>
      <c r="E38" s="4" t="s">
        <v>266</v>
      </c>
    </row>
    <row r="39" spans="1:5" ht="25.5" x14ac:dyDescent="0.45">
      <c r="A39" s="3">
        <v>35</v>
      </c>
      <c r="B39" s="3" t="s">
        <v>51</v>
      </c>
      <c r="C39" s="2" t="s">
        <v>267</v>
      </c>
      <c r="D39" s="2" t="s">
        <v>268</v>
      </c>
      <c r="E39" s="4" t="s">
        <v>269</v>
      </c>
    </row>
    <row r="40" spans="1:5" ht="38.25" x14ac:dyDescent="0.45">
      <c r="A40" s="3">
        <v>36</v>
      </c>
      <c r="B40" s="3" t="s">
        <v>51</v>
      </c>
      <c r="C40" s="2" t="s">
        <v>270</v>
      </c>
      <c r="D40" s="2" t="s">
        <v>271</v>
      </c>
      <c r="E40" s="4" t="s">
        <v>272</v>
      </c>
    </row>
    <row r="41" spans="1:5" ht="25.5" x14ac:dyDescent="0.45">
      <c r="A41" s="3">
        <v>37</v>
      </c>
      <c r="B41" s="3" t="s">
        <v>51</v>
      </c>
      <c r="C41" s="2" t="s">
        <v>273</v>
      </c>
      <c r="D41" s="2" t="s">
        <v>274</v>
      </c>
      <c r="E41" s="4" t="s">
        <v>174</v>
      </c>
    </row>
  </sheetData>
  <autoFilter ref="A4:E41" xr:uid="{00000000-0009-0000-0000-000002000000}"/>
  <hyperlinks>
    <hyperlink ref="E5" r:id="rId1" xr:uid="{00000000-0004-0000-0200-000000000000}"/>
    <hyperlink ref="E6" r:id="rId2" xr:uid="{00000000-0004-0000-0200-000001000000}"/>
    <hyperlink ref="E7" r:id="rId3" xr:uid="{00000000-0004-0000-0200-000002000000}"/>
    <hyperlink ref="E8" r:id="rId4" xr:uid="{00000000-0004-0000-0200-000003000000}"/>
    <hyperlink ref="E9" r:id="rId5" xr:uid="{00000000-0004-0000-0200-000004000000}"/>
    <hyperlink ref="E10" r:id="rId6" xr:uid="{00000000-0004-0000-0200-000005000000}"/>
    <hyperlink ref="E11" r:id="rId7" xr:uid="{00000000-0004-0000-0200-000006000000}"/>
    <hyperlink ref="E12" r:id="rId8" xr:uid="{00000000-0004-0000-0200-000007000000}"/>
    <hyperlink ref="E13" r:id="rId9" xr:uid="{00000000-0004-0000-0200-000008000000}"/>
    <hyperlink ref="E14" r:id="rId10" xr:uid="{00000000-0004-0000-0200-000009000000}"/>
    <hyperlink ref="E15" r:id="rId11" xr:uid="{00000000-0004-0000-0200-00000A000000}"/>
    <hyperlink ref="E16" r:id="rId12" xr:uid="{00000000-0004-0000-0200-00000B000000}"/>
    <hyperlink ref="E17" r:id="rId13" xr:uid="{00000000-0004-0000-0200-00000C000000}"/>
    <hyperlink ref="E18" r:id="rId14" xr:uid="{00000000-0004-0000-0200-00000D000000}"/>
    <hyperlink ref="E19" r:id="rId15" xr:uid="{00000000-0004-0000-0200-00000E000000}"/>
    <hyperlink ref="E20" r:id="rId16" xr:uid="{00000000-0004-0000-0200-00000F000000}"/>
    <hyperlink ref="E21" r:id="rId17" xr:uid="{00000000-0004-0000-0200-000010000000}"/>
    <hyperlink ref="E22" r:id="rId18" xr:uid="{00000000-0004-0000-0200-000011000000}"/>
    <hyperlink ref="E23" r:id="rId19" xr:uid="{00000000-0004-0000-0200-000012000000}"/>
    <hyperlink ref="E24" r:id="rId20" xr:uid="{00000000-0004-0000-0200-000013000000}"/>
    <hyperlink ref="E25" r:id="rId21" xr:uid="{00000000-0004-0000-0200-000014000000}"/>
    <hyperlink ref="E26" r:id="rId22" xr:uid="{00000000-0004-0000-0200-000015000000}"/>
    <hyperlink ref="E27" r:id="rId23" xr:uid="{00000000-0004-0000-0200-000016000000}"/>
    <hyperlink ref="E28" r:id="rId24" xr:uid="{00000000-0004-0000-0200-000017000000}"/>
    <hyperlink ref="E29" r:id="rId25" xr:uid="{00000000-0004-0000-0200-000018000000}"/>
    <hyperlink ref="E30" r:id="rId26" xr:uid="{00000000-0004-0000-0200-000019000000}"/>
    <hyperlink ref="E31" r:id="rId27" xr:uid="{00000000-0004-0000-0200-00001A000000}"/>
    <hyperlink ref="E32" r:id="rId28" xr:uid="{00000000-0004-0000-0200-00001B000000}"/>
    <hyperlink ref="E33" r:id="rId29" xr:uid="{00000000-0004-0000-0200-00001C000000}"/>
    <hyperlink ref="E34" r:id="rId30" xr:uid="{00000000-0004-0000-0200-00001D000000}"/>
    <hyperlink ref="E35" r:id="rId31" xr:uid="{00000000-0004-0000-0200-00001E000000}"/>
    <hyperlink ref="E36" r:id="rId32" xr:uid="{00000000-0004-0000-0200-00001F000000}"/>
    <hyperlink ref="E37" r:id="rId33" xr:uid="{00000000-0004-0000-0200-000020000000}"/>
    <hyperlink ref="E38" r:id="rId34" xr:uid="{00000000-0004-0000-0200-000021000000}"/>
    <hyperlink ref="E39" r:id="rId35" xr:uid="{00000000-0004-0000-0200-000022000000}"/>
    <hyperlink ref="E40" r:id="rId36" xr:uid="{00000000-0004-0000-0200-000023000000}"/>
    <hyperlink ref="E41" r:id="rId37" xr:uid="{00000000-0004-0000-0200-000024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Dashboard</vt:lpstr>
      <vt:lpstr>Objective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russel alfeche</cp:lastModifiedBy>
  <cp:revision>0</cp:revision>
  <dcterms:created xsi:type="dcterms:W3CDTF">2026-07-16T00:17:11Z</dcterms:created>
  <dcterms:modified xsi:type="dcterms:W3CDTF">2026-07-16T00:39:32Z</dcterms:modified>
  <dc:language>en-US</dc:language>
</cp:coreProperties>
</file>